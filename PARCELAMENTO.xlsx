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https://d.docs.live.net/0DD5456ADA276C57/Documentos/"/>
    </mc:Choice>
  </mc:AlternateContent>
  <xr:revisionPtr revIDLastSave="0" documentId="8_{56BCA8FC-2EDE-441E-ADA1-54F903156EB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JUNHO-JULHO" sheetId="6" r:id="rId1"/>
    <sheet name="MARÇO-MAIO" sheetId="4" state="hidden" r:id="rId2"/>
  </sheets>
  <definedNames>
    <definedName name="_xlnm._FilterDatabase" localSheetId="1" hidden="1">'MARÇO-MAIO'!$A$1:$M$1043</definedName>
    <definedName name="_xlnm._FilterDatabase" localSheetId="0" hidden="1">'JUNHO-JULHO'!$A$1:$M$1025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8" i="6" l="1"/>
  <c r="I358" i="6"/>
  <c r="I359" i="6"/>
  <c r="I360" i="6"/>
  <c r="I355" i="6"/>
  <c r="I356" i="6"/>
  <c r="I353" i="6"/>
  <c r="I345" i="6"/>
  <c r="I346" i="6"/>
  <c r="I342" i="6"/>
  <c r="I337" i="6"/>
  <c r="I329" i="6"/>
  <c r="I325" i="6"/>
  <c r="I320" i="6"/>
  <c r="I321" i="6"/>
  <c r="I309" i="6"/>
  <c r="I302" i="6"/>
  <c r="I299" i="6"/>
  <c r="I300" i="6"/>
  <c r="I294" i="6"/>
  <c r="I286" i="6"/>
  <c r="I282" i="6"/>
  <c r="I278" i="6"/>
  <c r="I275" i="6"/>
  <c r="I267" i="6"/>
  <c r="I261" i="6"/>
  <c r="I247" i="6"/>
  <c r="I240" i="6"/>
  <c r="I236" i="6"/>
  <c r="I213" i="6"/>
  <c r="I214" i="6"/>
  <c r="I212" i="6"/>
  <c r="B166" i="6"/>
  <c r="B172" i="6"/>
  <c r="A178" i="6"/>
  <c r="A191" i="6"/>
  <c r="B7" i="6" l="1"/>
  <c r="B29" i="6"/>
  <c r="B17" i="6"/>
  <c r="B16" i="6"/>
  <c r="B12" i="6"/>
  <c r="B4" i="6"/>
  <c r="B1036" i="4"/>
  <c r="B1018" i="4"/>
  <c r="B981" i="4" l="1"/>
  <c r="B996" i="4" l="1"/>
  <c r="B756" i="4" l="1"/>
  <c r="B762" i="4" l="1"/>
  <c r="B846" i="4"/>
  <c r="B845" i="4"/>
  <c r="B844" i="4"/>
  <c r="B840" i="4"/>
</calcChain>
</file>

<file path=xl/sharedStrings.xml><?xml version="1.0" encoding="utf-8"?>
<sst xmlns="http://schemas.openxmlformats.org/spreadsheetml/2006/main" count="14158" uniqueCount="4775">
  <si>
    <t>CPF/CNPJ</t>
  </si>
  <si>
    <t>CUSTCOD</t>
  </si>
  <si>
    <t>SOLICITANTE</t>
  </si>
  <si>
    <t>STATUS</t>
  </si>
  <si>
    <t>RESPONSÁVEL</t>
  </si>
  <si>
    <t>DATA</t>
  </si>
  <si>
    <t>VENCIMENTO FATURA</t>
  </si>
  <si>
    <t>VALOR DA FATURA(S)</t>
  </si>
  <si>
    <t>VALOR DA ENTRADA</t>
  </si>
  <si>
    <t>DATA DA ENTRADA</t>
  </si>
  <si>
    <t>QR CODE PIX</t>
  </si>
  <si>
    <t>ENVIADO PGT. FINANCEIRO</t>
  </si>
  <si>
    <t>284.212.482-00</t>
  </si>
  <si>
    <t>1.354333419</t>
  </si>
  <si>
    <t>FIBRA</t>
  </si>
  <si>
    <t>Concluído</t>
  </si>
  <si>
    <t>PAGAMENTO</t>
  </si>
  <si>
    <t>Sim</t>
  </si>
  <si>
    <t>285.442.852-87</t>
  </si>
  <si>
    <t>1.353453326</t>
  </si>
  <si>
    <t>GERENTE</t>
  </si>
  <si>
    <t>00020126740014br.gov.bcb.pix013686b26441-94eb-4523-9e8a-79120d007b940212000059007864520400005303986540518.985802BR5907TIM S A6009SAO PAULO62290525R050000590078640106134638630472FF</t>
  </si>
  <si>
    <t>002.801.922-90</t>
  </si>
  <si>
    <t>TAINARA</t>
  </si>
  <si>
    <t>00020126740014br.gov.bcb.pix013686b26441-94eb-4523-9e8a-79120d007b940212000059009299520400005303986540530.195802BR5907TIM S A6009SAO PAULO62290525R05000059009299010614582763042E8E</t>
  </si>
  <si>
    <t>771.001.232-91</t>
  </si>
  <si>
    <t>1.352236584</t>
  </si>
  <si>
    <t>00020126740014br.gov.bcb.pix013686b26441-94eb-4523-9e8a-79120d007b940212000059007914520400005303986540522.475802BR5907TIM S A6009SAO PAULO62290525R05000059007914010613485363042C7E</t>
  </si>
  <si>
    <t>711.409.504-01</t>
  </si>
  <si>
    <t>1.352047265</t>
  </si>
  <si>
    <t>00020126740014br.gov.bcb.pix013686b26441-94eb-4523-9e8a-79120d007b94021200005479695952040000530398654046.625802BR5907TIM S A6009SAO PAULO62290525R36000054796959010613501463049C67</t>
  </si>
  <si>
    <t>971.133.362-72</t>
  </si>
  <si>
    <t>937.145.052-53</t>
  </si>
  <si>
    <t>1.351493709</t>
  </si>
  <si>
    <t>00020126740014br.gov.bcb.pix013686b26441-94eb-4523-9e8a-79120d007b940212000059007958520400005303986540526.725802BR5907TIM S A6009SAO PAULO62290525R05000059007958010613512163041716</t>
  </si>
  <si>
    <t>36.297.346/0001-40</t>
  </si>
  <si>
    <t>1.352532963</t>
  </si>
  <si>
    <t>00020126740014br.gov.bcb.pix013686b26441-94eb-4523-9e8a-79120d007b940212000059007979520400005303986540531.735802BR5907TIM S A6009SAO PAULO62290525R05000059007979010613523163047219</t>
  </si>
  <si>
    <t>915.246.522-53</t>
  </si>
  <si>
    <t>1.351798083</t>
  </si>
  <si>
    <t>00020126740014br.gov.bcb.pix013686b26441-94eb-4523-9e8a-79120d007b940212000059008016520400005303986540522.785802BR5907TIM S A6009SAO PAULO62290525R0500005900801601061353576304E5F8</t>
  </si>
  <si>
    <t>024.038.482-20</t>
  </si>
  <si>
    <t>1.353098243</t>
  </si>
  <si>
    <t>00020126740014br.gov.bcb.pix013686b26441-94eb-4523-9e8a-79120d007b940212000059008053520400005303986540520.305802BR5907TIM S A6009SAO PAULO62290525R050000590080530106135510630416D7</t>
  </si>
  <si>
    <t>077.571.582-49</t>
  </si>
  <si>
    <t>00020126740014br.gov.bcb.pix013686b26441-94eb-4523-9e8a-79120d007b940212000059041359520400005303986540517.465802BR5907TIM S A6009SAO PAULO62290525R05000059041359030614023563045E36</t>
  </si>
  <si>
    <t>384.880.002-00</t>
  </si>
  <si>
    <t>1.353846294</t>
  </si>
  <si>
    <t>00020126740014br.gov.bcb.pix013686b26441-94eb-4523-9e8a-79120d007b940212000059008066520400005303986540516.305802BR5907TIM S A6009SAO PAULO62290525R05000059008066010613560963047F5E</t>
  </si>
  <si>
    <t>03.601.547/0001-30</t>
  </si>
  <si>
    <t>1.351494157</t>
  </si>
  <si>
    <t>00020126740014br.gov.bcb.pix013686b26441-94eb-4523-9e8a-79120d007b940212000059008099520400005303986540524.345802BR5907TIM S A6009SAO PAULO62290525R0500005900809901061357346304946D</t>
  </si>
  <si>
    <t>1.353429557</t>
  </si>
  <si>
    <t>00020126740014br.gov.bcb.pix013686b26441-94eb-4523-9e8a-79120d007b940212000059008136520400005303986540526.375802BR5907TIM S A6009SAO PAULO62290525R05000059008136010613594163041341</t>
  </si>
  <si>
    <t>546.474.602-15</t>
  </si>
  <si>
    <t>KALINE</t>
  </si>
  <si>
    <t xml:space="preserve">00020126740014br.gov.bcb.pix013686b26441-94eb-4523-9e8a-79120d007b940212250015941283520400005303986540544.715802BR5907TIM S A6009SAO PAULO62290525R05250015941283020614150763049198
</t>
  </si>
  <si>
    <t>944.953.272-91</t>
  </si>
  <si>
    <t>ALICIA</t>
  </si>
  <si>
    <t xml:space="preserve">00020126740014br.gov.bcb.pix013686b26441-94eb-4523-9e8a-79120d007b940212000059019007520400005303986540535.005802BR5907TIM S A6009SAO PAULO62290525R05000059019007020610280763042389
</t>
  </si>
  <si>
    <t>942.743.552-68</t>
  </si>
  <si>
    <t>1.352333306</t>
  </si>
  <si>
    <t>KETHYLLEN</t>
  </si>
  <si>
    <t xml:space="preserve">00020126740014br.gov.bcb.pix013686b26441-94eb-4523-9e8a-79120d007b940212000059024245520400005303986540525.005802BR5907TIM S A6009SAO PAULO62290525R05000059024245020614222163041125  </t>
  </si>
  <si>
    <t>733.277.942-00</t>
  </si>
  <si>
    <t>1.352959446</t>
  </si>
  <si>
    <t xml:space="preserve">00020126740014br.gov.bcb.pix013686b26441-94eb-4523-9e8a-79120d007b940212000059017540520400005303986540545.005802BR5907TIM S A6009SAO PAULO62290525R05000059017540020609301063041A3B
</t>
  </si>
  <si>
    <t>346.439.822-68</t>
  </si>
  <si>
    <t>1.353487367</t>
  </si>
  <si>
    <t xml:space="preserve">00020126740014br.gov.bcb.pix013686b26441-94eb-4523-9e8a-79120d007b940212000059023939520400005303986540539.535802BR5907TIM S A6009SAO PAULO62290525R05000059023939020613485163046005
</t>
  </si>
  <si>
    <t>748.541.352-04</t>
  </si>
  <si>
    <t>1.353420080</t>
  </si>
  <si>
    <t>00020126740014br.gov.bcb.pix013686b26441-94eb-4523-9e8a-79120d007b940212000059009499520400005303986540531.035802BR5907TIM S A6009SAO PAULO62290525R050000590094990106150821630458C3</t>
  </si>
  <si>
    <t>013.569.315-29</t>
  </si>
  <si>
    <t>1.354189771</t>
  </si>
  <si>
    <t>408.905.625-04</t>
  </si>
  <si>
    <t>1.352807201</t>
  </si>
  <si>
    <t xml:space="preserve">00020126740014br.gov.bcb.pix013686b26441-94eb-4523-9e8a-79120d007b940212000059020521520400005303986540547.555802BR5907TIM S A6009SAO PAULO62290525R0500005902052102061130116304094B
</t>
  </si>
  <si>
    <t>860.900.095-80</t>
  </si>
  <si>
    <t>1.353693095</t>
  </si>
  <si>
    <t>MIKAELLY</t>
  </si>
  <si>
    <t>00020126740014br.gov.bcb.pix013686b26441-94eb-4523-9e8a-79120d007b940212000059035986520400005303986540535.905802BR5907TIM S A6009SAO PAULO62290525R0500005903598603061008276304DC1E</t>
  </si>
  <si>
    <t>269.585.706-34</t>
  </si>
  <si>
    <t>1.353458155</t>
  </si>
  <si>
    <t>00020126740014br.gov.bcb.pix013686b26441-94eb-4523-9e8a-79120d007b940212000059010423520400005303986540544.745802BR5907TIM S A6009SAO PAULO62290525R05000059010423010616024163049FEB</t>
  </si>
  <si>
    <t>103.895.126-72</t>
  </si>
  <si>
    <t>1.353429109</t>
  </si>
  <si>
    <t xml:space="preserve">00020126740014br.gov.bcb.pix013686b26441-94eb-4523-9e8a-79120d007b940212000059025362520400005303986540548.745802BR5907TIM S A6009SAO PAULO62290525R0500005902536202061509096304014B
</t>
  </si>
  <si>
    <t>027.137.276-18</t>
  </si>
  <si>
    <t>1.351507277</t>
  </si>
  <si>
    <t xml:space="preserve">00020126740014br.gov.bcb.pix013686b26441-94eb-4523-9e8a-79120d007b940212000059011019520400005303986540523.065802BR5907TIM S A6009SAO PAULO62290525R05000059011019020611390863049353 </t>
  </si>
  <si>
    <t>123.587.166-50</t>
  </si>
  <si>
    <t>1.354313905</t>
  </si>
  <si>
    <t>079.250.446-16</t>
  </si>
  <si>
    <t>00020126740014br.gov.bcb.pix013686b26441-94eb-4523-9e8a-79120d007b940212000059027178520400005303986540545.585802BR5907TIM S A6009SAO PAULO62290525R05000059027178030610183263044D46</t>
  </si>
  <si>
    <t>114.054.946-46</t>
  </si>
  <si>
    <t>1.354250050</t>
  </si>
  <si>
    <t>015.769.816-57</t>
  </si>
  <si>
    <t>1.353690960</t>
  </si>
  <si>
    <t>562.792.136-68</t>
  </si>
  <si>
    <t>1.352971265</t>
  </si>
  <si>
    <t>00020126740014br.gov.bcb.pix013686b26441-94eb-4523-9e8a-79120d007b940212250015940910520400005303986540533.475802BR5907TIM S A6009SAO PAULO62290525R0525001594091002061359506304C06E</t>
  </si>
  <si>
    <t>300.835.914-00</t>
  </si>
  <si>
    <t>1.352980074</t>
  </si>
  <si>
    <t xml:space="preserve">00020126740014br.gov.bcb.pix013686b26441-94eb-4523-9e8a-79120d007b940212000054797400520400005303986540544.715802BR5907TIM S A6009SAO PAULO62290525R36000054797400020609404163042D1A
</t>
  </si>
  <si>
    <t>293.674.924-72</t>
  </si>
  <si>
    <t>1.354293992</t>
  </si>
  <si>
    <t>192.723.164-72</t>
  </si>
  <si>
    <t>1.354208257</t>
  </si>
  <si>
    <t>286.326.213-00</t>
  </si>
  <si>
    <t>1.351315097</t>
  </si>
  <si>
    <t>00020126740014br.gov.bcb.pix013686b26441-94eb-4523-9e8a-79120d007b940212000059006014520400005303986540542.985802BR5907TIM S A6009SAO PAULO62290525R050000590060140106120327630421A2</t>
  </si>
  <si>
    <t>060.013.573-07</t>
  </si>
  <si>
    <t>1.353646794</t>
  </si>
  <si>
    <t>00020126740014br.gov.bcb.pix013686b26441-94eb-4523-9e8a-79120d007b940212000059026985520400005303986540532.645802BR5907TIM S A6009SAO PAULO62290525R0500005902698502061622386304FD73</t>
  </si>
  <si>
    <t>577.985.672-91</t>
  </si>
  <si>
    <t>1.352322589</t>
  </si>
  <si>
    <t xml:space="preserve">00020126740014br.gov.bcb.pix013686b26441-94eb-4523-9e8a-79120d007b940212000059024895520400005303986540524.285802BR5907TIM S A6009SAO PAULO62290525R0500005902489502061448516304C064
</t>
  </si>
  <si>
    <t>055.352.116-05</t>
  </si>
  <si>
    <t>1.352699354</t>
  </si>
  <si>
    <t xml:space="preserve">00020126740014br.gov.bcb.pix013686b26441-94eb-4523-9e8a-79120d007b940212000059026079520400005303986540522.635802BR5907TIM S A6009SAO PAULO62290525R050000590260790206153954630491A4
</t>
  </si>
  <si>
    <t>029.214.412-17</t>
  </si>
  <si>
    <t>1.352003136</t>
  </si>
  <si>
    <t>00020126740014br.gov.bcb.pix013686b26441-94eb-4523-9e8a-79120d007b940212000054798111520400005303986540569.705802BR5907TIM S A6009SAO PAULO62290525R360000547981110306102657630477FE</t>
  </si>
  <si>
    <t>015.716.732-10</t>
  </si>
  <si>
    <t>1.353126771</t>
  </si>
  <si>
    <t>00020126740014br.gov.bcb.pix013686b26441-94eb-4523-9e8a-79120d007b940212000059074382520400005303986540544.675802BR5907TIM S A6009SAO PAULO62290525R0500005907438205061107156304D447</t>
  </si>
  <si>
    <t>756.938.013-49</t>
  </si>
  <si>
    <t>1.353821030</t>
  </si>
  <si>
    <t xml:space="preserve">00020126740014br.gov.bcb.pix013686b26441-94eb-4523-9e8a-79120d007b940212000059106771520400005303986540530.005802BR5907TIM S A6009SAO PAULO62290525R0500005910677108061046166304324E
</t>
  </si>
  <si>
    <t>027.827.042-57</t>
  </si>
  <si>
    <t>1.354334427</t>
  </si>
  <si>
    <t>705.511.592-27</t>
  </si>
  <si>
    <t>1.352331951</t>
  </si>
  <si>
    <t>00020126740014br.gov.bcb.pix013686b26441-94eb-4523-9e8a-79120d007b940212000054798282520400005303986540541.185802BR5907TIM S A6009SAO PAULO62290525R3600005479828203061326386304BBF0</t>
  </si>
  <si>
    <t>514.920.752-72</t>
  </si>
  <si>
    <t>1.351420615</t>
  </si>
  <si>
    <t>00020126740014br.gov.bcb.pix013686b26441-94eb-4523-9e8a-79120d007b940212000054798231520400005303986540545.065802BR5907TIM S A6009SAO PAULO62290525R3600005479823103061250166304D1D0</t>
  </si>
  <si>
    <t>711.826.322-20</t>
  </si>
  <si>
    <t>1.353078311</t>
  </si>
  <si>
    <t xml:space="preserve">00020126740014br.gov.bcb.pix013686b26441-94eb-4523-9e8a-79120d007b940212000054798405520400005303986540556.335802BR5907TIM S A6009SAO PAULO62290525R3600005479840503061556446304E54F
</t>
  </si>
  <si>
    <t>439.184.252-15</t>
  </si>
  <si>
    <t>1.353311598</t>
  </si>
  <si>
    <t xml:space="preserve">00020126740014br.gov.bcb.pix013686b26441-94eb-4523-9e8a-79120d007b940212000059076140520400005303986540555.005802BR5907TIM S A6009SAO PAULO62290525R0500005907614005061201326304404D
</t>
  </si>
  <si>
    <t>445.997.812-15</t>
  </si>
  <si>
    <t>1.353335204</t>
  </si>
  <si>
    <t>00020126740014br.gov.bcb.pix013686b26441-94eb-4523-9e8a-79120d007b940212000059148052520400005303986540543.185802BR5907TIM S A6009SAO PAULO62290525R0500005914805210061412536304A17E</t>
  </si>
  <si>
    <t>738.198.912-34</t>
  </si>
  <si>
    <t>1.354577522</t>
  </si>
  <si>
    <t>610.666.562-15</t>
  </si>
  <si>
    <t>1.351911500</t>
  </si>
  <si>
    <t>00020126740014br.gov.bcb.pix013686b26441-94eb-4523-9e8a-79120d007b940212000054798673520400005303986540550.005802BR5907TIM S A6009SAO PAULO62290525R36000054798673040614062763045530</t>
  </si>
  <si>
    <t>659.636.872-68</t>
  </si>
  <si>
    <t>1.354466591</t>
  </si>
  <si>
    <t>995.961.212-00</t>
  </si>
  <si>
    <t>1.351929709</t>
  </si>
  <si>
    <t>00020126740014br.gov.bcb.pix013686b26441-94eb-4523-9e8a-79120d007b940212000059065188520400005303986540566.655802BR5907TIM S A6009SAO PAULO62290525R0500005906518804061647036304B6FC</t>
  </si>
  <si>
    <t>456.171.122-87</t>
  </si>
  <si>
    <t>1.351494471</t>
  </si>
  <si>
    <t>00020126740014br.gov.bcb.pix013686b26441-94eb-4523-9e8a-79120d007b940212000054798238520400005303986540531.895802BR5907TIM S A6009SAO PAULO62290525R3600005479823803061229526304C287</t>
  </si>
  <si>
    <t>703.336.052-50</t>
  </si>
  <si>
    <t>1.351804743</t>
  </si>
  <si>
    <t>00020126740014br.gov.bcb.pix013686b26441-94eb-4523-9e8a-79120d007b940212000059036732520400005303986540554.095802BR5907TIM S A6009SAO PAULO62290525R0500005903673203061036576304A1DC</t>
  </si>
  <si>
    <t>1.352774292</t>
  </si>
  <si>
    <t>184.053.122-34</t>
  </si>
  <si>
    <t>1.351477240</t>
  </si>
  <si>
    <t>00020126740014br.gov.bcb.pix013686b26441-94eb-4523-9e8a-79120d007b940212000054798110520400005303986540556.825802BR5907TIM S A6009SAO PAULO62290525R36000054798110030610255963047A63</t>
  </si>
  <si>
    <t>745.649.512-20</t>
  </si>
  <si>
    <t>1.351888614</t>
  </si>
  <si>
    <t>ANDREI</t>
  </si>
  <si>
    <t>00020126740014br.gov.bcb.pix013686b26441-94eb-4523-9e8a-79120d007b940212000059130630520400005303986540550.005802BR5907TIM S A6009SAO PAULO62290525R05000059130630090614021863046577</t>
  </si>
  <si>
    <t>972.450.892-72</t>
  </si>
  <si>
    <t>1.353041543</t>
  </si>
  <si>
    <t>00020126740014br.gov.bcb.pix013686b26441-94eb-4523-9e8a-79120d007b940212000054798359520400005303986540552.725802BR5907TIM S A6009SAO PAULO62290525R3600005479835903061506266304C527</t>
  </si>
  <si>
    <t>525.112.942-49</t>
  </si>
  <si>
    <t>1.354580368</t>
  </si>
  <si>
    <t>200.567.022-72</t>
  </si>
  <si>
    <t>1.353063333</t>
  </si>
  <si>
    <t>00020126740014br.gov.bcb.pix013686b26441-94eb-4523-9e8a-79120d007b940212000059046381520400005303986540546.925802BR5907TIM S A6009SAO PAULO62290525R0500005904638103061721436304C7F8</t>
  </si>
  <si>
    <t>285.514.511-20</t>
  </si>
  <si>
    <t>1.353044331</t>
  </si>
  <si>
    <t>00020126740014br.gov.bcb.pix013686b26441-94eb-4523-9e8a-79120d007b940212000059131115520400005303986540557.685802BR5907TIM S A6009SAO PAULO62290525R0500005913111509061422546304023D</t>
  </si>
  <si>
    <t>946.534.022-72</t>
  </si>
  <si>
    <t>1.353463139</t>
  </si>
  <si>
    <t xml:space="preserve">00020126740014br.gov.bcb.pix013686b26441-94eb-4523-9e8a-79120d007b940212000059113686520400005303986540536.005802BR5907TIM S A6009SAO PAULO62290525R050000591136860806160234630473E4
</t>
  </si>
  <si>
    <t>078.093.012-68</t>
  </si>
  <si>
    <t>1.354176972</t>
  </si>
  <si>
    <t>MIKA SMB</t>
  </si>
  <si>
    <t>00020126740014br.gov.bcb.pix013686b26441-94eb-4523-9e8a-79120d007b940212000059167883520400005303986540520.005802BR5907TIM S A6009SAO PAULO62290525R0500005916788311061648386304E73F</t>
  </si>
  <si>
    <t>659.907.572-04</t>
  </si>
  <si>
    <t>1.354257747</t>
  </si>
  <si>
    <t>046.800.142-53</t>
  </si>
  <si>
    <t>1.352381997</t>
  </si>
  <si>
    <t xml:space="preserve">00020126740014br.gov.bcb.pix013686b26441-94eb-4523-9e8a-79120d007b940212000059044546520400005303986540555.765802BR5907TIM S A6009SAO PAULO62290525R050000590445460306160932630403A5
</t>
  </si>
  <si>
    <t>029.080.902-95</t>
  </si>
  <si>
    <t>1.353432705</t>
  </si>
  <si>
    <t>00020126740014br.gov.bcb.pix013686b26441-94eb-4523-9e8a-79120d007b940212000059150229520400005303986540522.665802BR5907TIM S A6009SAO PAULO62290525R05000059150229100615503763046291</t>
  </si>
  <si>
    <t>796.082.482-72</t>
  </si>
  <si>
    <t>1.351838254</t>
  </si>
  <si>
    <t xml:space="preserve">00020126740014br.gov.bcb.pix013686b26441-94eb-4523-9e8a-79120d007b940212000059074611520400005303986540555.005802BR5907TIM S A6009SAO PAULO62290525R0500005907461105061113506304B105
</t>
  </si>
  <si>
    <t>789.123.422-15</t>
  </si>
  <si>
    <t>1.351500037</t>
  </si>
  <si>
    <t>00020126740014br.gov.bcb.pix013686b26441-94eb-4523-9e8a-79120d007b940212000059131896520400005303986540530.005802BR5907TIM S A6009SAO PAULO62290525R0500005913189609061501086304CE19</t>
  </si>
  <si>
    <t>030.209.412-10</t>
  </si>
  <si>
    <t>1.353619094</t>
  </si>
  <si>
    <t>00020126740014br.gov.bcb.pix013686b26441-94eb-4523-9e8a-79120d007b940212000059037289520400005303986540540.555802BR5907TIM S A6009SAO PAULO62290525R0500005903728903061058096304BFA4</t>
  </si>
  <si>
    <t>014.617.685-51</t>
  </si>
  <si>
    <t>1.354578939</t>
  </si>
  <si>
    <t>070.080.135-90</t>
  </si>
  <si>
    <t>1.353527480</t>
  </si>
  <si>
    <t>00020126740014br.gov.bcb.pix013686b26441-94eb-4523-9e8a-79120d007b940212000059084106520400005303986540544.725802BR5907TIM S A6009SAO PAULO62290525R0500005908410605061702256304147C</t>
  </si>
  <si>
    <t>053.039.385-90</t>
  </si>
  <si>
    <t>1.354592372</t>
  </si>
  <si>
    <t>007.454.821-20</t>
  </si>
  <si>
    <t>1.353301935</t>
  </si>
  <si>
    <t xml:space="preserve">00020126740014br.gov.bcb.pix013686b26441-94eb-4523-9e8a-79120d007b940212000059142791520400005303986540530.895802BR5907TIM S A6009SAO PAULO62290525R05000059142791100610115463043F75
</t>
  </si>
  <si>
    <t>063.945.115-28</t>
  </si>
  <si>
    <t>1.353724345</t>
  </si>
  <si>
    <t xml:space="preserve">00020126740014br.gov.bcb.pix013686b26441-94eb-4523-9e8a-79120d007b940212000059106872520400005303986540541.015802BR5907TIM S A6009SAO PAULO62290525R0500005910687208061050126304BDC3
</t>
  </si>
  <si>
    <t>052.607.365-91</t>
  </si>
  <si>
    <t>1.353538961</t>
  </si>
  <si>
    <t xml:space="preserve">00020126740014br.gov.bcb.pix013686b26441-94eb-4523-9e8a-79120d007b940212000059147462520400005303986540520.305802BR5907TIM S A6009SAO PAULO62290525R05000059147462100613510263047C8C
</t>
  </si>
  <si>
    <t>601.086.815-72</t>
  </si>
  <si>
    <t>1.354595389</t>
  </si>
  <si>
    <t>129.704.845-87</t>
  </si>
  <si>
    <t>1.353519612</t>
  </si>
  <si>
    <t>00020126740014br.gov.bcb.pix013686b26441-94eb-4523-9e8a-79120d007b940212000059141570520400005303986540544.665802BR5907TIM S A6009SAO PAULO62290525R05000059141570100609212363042A4B</t>
  </si>
  <si>
    <t>539.282.614-87</t>
  </si>
  <si>
    <t>1.352782761</t>
  </si>
  <si>
    <t>00020126740014br.gov.bcb.pix013686b26441-94eb-4523-9e8a-79120d007b940212000059046952520400005303986540541.315802BR5907TIM S A6009SAO PAULO62290525R05000059046952030617375163046072</t>
  </si>
  <si>
    <t>194.281.973-00</t>
  </si>
  <si>
    <t>1.354296491</t>
  </si>
  <si>
    <t>664.360.603-91</t>
  </si>
  <si>
    <t>1.353441022</t>
  </si>
  <si>
    <t xml:space="preserve">00020126740014br.gov.bcb.pix013686b26441-94eb-4523-9e8a-79120d007b940212000059132846520400005303986540544.655802BR5907TIM S A6009SAO PAULO62290525R0500005913284609061632476304EF60 </t>
  </si>
  <si>
    <t>021.679.493-59</t>
  </si>
  <si>
    <t>1.352313434</t>
  </si>
  <si>
    <t>00020126740014br.gov.bcb.pix013686b26441-94eb-4523-9e8a-79120d007b940212000054798150520400005303986540577.635802BR5907TIM S A6009SAO PAULO62290525R3600005479815003061103586304400E</t>
  </si>
  <si>
    <t>767.154.266-00</t>
  </si>
  <si>
    <t>1.353544827</t>
  </si>
  <si>
    <t>00020126740014br.gov.bcb.pix013686b26441-94eb-4523-9e8a-79120d007b940212000059132172520400005303986540544.655802BR5907TIM S A6009SAO PAULO62290525R0500005913217209061513096304E988</t>
  </si>
  <si>
    <t>005.927.356-99</t>
  </si>
  <si>
    <t>1.354163334</t>
  </si>
  <si>
    <t>00020126740014br.gov.bcb.pix013686b26441-94eb-4523-9e8a-79120d007b940212000059107056520400005303986540520.005802BR5907TIM S A6009SAO PAULO62290525R0500005910705608061058006304840E</t>
  </si>
  <si>
    <t>465.650.276-68</t>
  </si>
  <si>
    <t>1.351701781</t>
  </si>
  <si>
    <t>00020126740014br.gov.bcb.pix013686b26441-94eb-4523-9e8a-79120d007b940212000054798174520400005303986540571.355802BR5907TIM S A6009SAO PAULO62290525R3600005479817403061125106304CA64</t>
  </si>
  <si>
    <t>102.165.556-20</t>
  </si>
  <si>
    <t>1.354410804</t>
  </si>
  <si>
    <t>004.989.916-36</t>
  </si>
  <si>
    <t>1.354596176</t>
  </si>
  <si>
    <t>125.694.126-35</t>
  </si>
  <si>
    <t>1.354484102</t>
  </si>
  <si>
    <t>126.361.026-98</t>
  </si>
  <si>
    <t>1.354452493</t>
  </si>
  <si>
    <t>013.651.686-62</t>
  </si>
  <si>
    <t>1.352057806</t>
  </si>
  <si>
    <t>00020126740014br.gov.bcb.pix013686b26441-94eb-4523-9e8a-79120d007b940212000054798188520400005303986540542.005802BR5907TIM S A6009SAO PAULO62290525R3600005479818803061137266304D229</t>
  </si>
  <si>
    <t>039.965.166-73</t>
  </si>
  <si>
    <t>1.353998210</t>
  </si>
  <si>
    <t>00020126740014br.gov.bcb.pix013686b26441-94eb-4523-9e8a-79120d007b940212000059108517520400005303986540513.895802BR5907TIM S A6009SAO PAULO62290525R05000059108517080611583263049CDE</t>
  </si>
  <si>
    <t>031.304.696-48</t>
  </si>
  <si>
    <t>1.353915434</t>
  </si>
  <si>
    <t>00020126740014br.gov.bcb.pix013686b26441-94eb-4523-9e8a-79120d007b940212000059123105520400005303986540528.565802BR5907TIM S A6009SAO PAULO62290525R050000591231050906082107630437CA</t>
  </si>
  <si>
    <t>124.143.336-42</t>
  </si>
  <si>
    <t>1.354078649</t>
  </si>
  <si>
    <t xml:space="preserve"> 00020126740014br.gov.bcb.pix013686b26441-94eb-4523-9e8a-79120d007b940212000059064263520400005303986540530.005802BR5907TIM S A6009SAO PAULO62290525R050000590642630406145703630434FF</t>
  </si>
  <si>
    <t>644.954.426-00</t>
  </si>
  <si>
    <t>1.352016257</t>
  </si>
  <si>
    <t>00020126740014br.gov.bcb.pix013686b26441-94eb-4523-9e8a-79120d007b940212000054798216520400005303986540552.885802BR5907TIM S A6009SAO PAULO62290525R36000054798216030612091663042D25</t>
  </si>
  <si>
    <t>929.240.506-34</t>
  </si>
  <si>
    <t>1.353696887</t>
  </si>
  <si>
    <t xml:space="preserve">00020126740014br.gov.bcb.pix013686b26441-94eb-4523-9e8a-79120d007b940212000059039185520400005303986540538.905802BR5907TIM S A6009SAO PAULO62290525R0500005903918503061214456304E621
</t>
  </si>
  <si>
    <t>655.256.478-34</t>
  </si>
  <si>
    <t>1.352668227</t>
  </si>
  <si>
    <t>00020126740014br.gov.bcb.pix013686b26441-94eb-4523-9e8a-79120d007b940212000054798698520400005303986540557.185802BR5907TIM S A6009SAO PAULO62290525R3600005479869804061547166304213D</t>
  </si>
  <si>
    <t>607.097.906-00</t>
  </si>
  <si>
    <t>1.354336462</t>
  </si>
  <si>
    <t>123.822.966-23</t>
  </si>
  <si>
    <t>1.353354292</t>
  </si>
  <si>
    <t>00020126740014br.gov.bcb.pix013686b26441-94eb-4523-9e8a-79120d007b940212000059045543520400005303986540550.005802BR5907TIM S A6009SAO PAULO62290525R0500005904554303061650546304406A</t>
  </si>
  <si>
    <t>395.231.286-04</t>
  </si>
  <si>
    <t>1.353899936</t>
  </si>
  <si>
    <t>00020126740014br.gov.bcb.pix013686b26441-94eb-4523-9e8a-79120d007b940212000059078985520400005303986540540.005802BR5907TIM S A6009SAO PAULO62290525R0500005907898505061344526304E03D</t>
  </si>
  <si>
    <t>059.051.516-01</t>
  </si>
  <si>
    <t>1.354543327</t>
  </si>
  <si>
    <t>661.946.016-04</t>
  </si>
  <si>
    <t>1.352514112</t>
  </si>
  <si>
    <t>00020126740014br.gov.bcb.pix013686b26441-94eb-4523-9e8a-79120d007b940212000059061360520400005303986540540.005802BR5907TIM S A6009SAO PAULO62290525R05000059061360040609554963049C8D</t>
  </si>
  <si>
    <t>956.034.256-87</t>
  </si>
  <si>
    <t>1.351223553</t>
  </si>
  <si>
    <t>00020126740014br.gov.bcb.pix013686b26441-94eb-4523-9e8a-79120d007b940212000054798627520400005303986540549.115802BR5907TIM S A6009SAO PAULO62290525R36000054798627040611033763047E09</t>
  </si>
  <si>
    <t>997.850.306-44</t>
  </si>
  <si>
    <t>1.353918155</t>
  </si>
  <si>
    <t xml:space="preserve">00020126740014br.gov.bcb.pix013686b26441-94eb-4523-9e8a-79120d007b940212000059041126520400005303986540520.005802BR5907TIM S A6009SAO PAULO62290525R05000059041126030613513563040556     </t>
  </si>
  <si>
    <t>901.928.186-00</t>
  </si>
  <si>
    <t>1.353985415</t>
  </si>
  <si>
    <t>00020126740014br.gov.bcb.pix013686b26441-94eb-4523-9e8a-79120d007b940212000059129322520400005303986540535.895802BR5907TIM S A6009SAO PAULO62290525R050000591293220906121343630458D6</t>
  </si>
  <si>
    <t>627.814.806-49</t>
  </si>
  <si>
    <t>1.352481072</t>
  </si>
  <si>
    <t xml:space="preserve">00020126740014br.gov.bcb.pix013686b26441-94eb-4523-9e8a-79120d007b940212000059064524520400005303986540545.445802BR5907TIM S A6009SAO PAULO62290525R05000059064524040615215663046521
</t>
  </si>
  <si>
    <t>050.382.496-80</t>
  </si>
  <si>
    <t>1.352141878</t>
  </si>
  <si>
    <t xml:space="preserve">00020126740014br.gov.bcb.pix013686b26441-94eb-4523-9e8a-79120d007b940212000059043059520400005303986540522.275802BR5907TIM S A6009SAO PAULO62290525R050000590430590306151426630404A0
</t>
  </si>
  <si>
    <t>130.310.166-10</t>
  </si>
  <si>
    <t>1.353875626</t>
  </si>
  <si>
    <t>00020126740014br.gov.bcb.pix013686b26441-94eb-4523-9e8a-79120d007b940212000059072814520400005303986540538.065802BR5907TIM S A6009SAO PAULO62290525R0500005907281405061019066304828</t>
  </si>
  <si>
    <t>021.448.626-56</t>
  </si>
  <si>
    <t>1.354494150</t>
  </si>
  <si>
    <t>084.269.206-16</t>
  </si>
  <si>
    <t>1.352182685</t>
  </si>
  <si>
    <t>00020126740014br.gov.bcb.pix013686b26441-94eb-4523-9e8a-79120d007b940212000059062366520400005303986540522.585802BR5907TIM S A6009SAO PAULO62290525R0500005906236604061124236304921F</t>
  </si>
  <si>
    <t>145.092.314-31</t>
  </si>
  <si>
    <t>1.353874955</t>
  </si>
  <si>
    <t>00020126740014br.gov.bcb.pix013686b26441-94eb-4523-9e8a-79120d007b940212000059046732520400005303986540539.515802BR5907TIM S A6009SAO PAULO62290525R05000059046732030617323063041344</t>
  </si>
  <si>
    <t>058.430.706-38</t>
  </si>
  <si>
    <t>1.353477906</t>
  </si>
  <si>
    <t>00020126740014br.gov.bcb.pix013686b26441-94eb-4523-9e8a-79120d007b940212520013228401520400005303986540540.725802BR5907TIM S A6009SAO PAULO62290525R055200132284010906131945630438FC</t>
  </si>
  <si>
    <t>099.951.136-00</t>
  </si>
  <si>
    <t>1.353521560</t>
  </si>
  <si>
    <t xml:space="preserve"> 00020126740014br.gov.bcb.pix013686b26441-94eb-4523-9e8a-79120d007b940212000059064142520400005303986540530.005802BR5907TIM S A6009SAO PAULO62290525R0500005906414204061442356304C85D</t>
  </si>
  <si>
    <t>012.532.846-01</t>
  </si>
  <si>
    <t>1.351694950</t>
  </si>
  <si>
    <t>00020126740014br.gov.bcb.pix013686b26441-94eb-4523-9e8a-79120d007b940212520013228839520400005303986540545.735802BR5907TIM S A6009SAO PAULO62290525R05520013228839090613401163047503</t>
  </si>
  <si>
    <t>623.119.136-20</t>
  </si>
  <si>
    <t>1.354588841</t>
  </si>
  <si>
    <t>080.025.066-42</t>
  </si>
  <si>
    <t>1.354439275</t>
  </si>
  <si>
    <t>073.430.476-55</t>
  </si>
  <si>
    <t>1.353103132</t>
  </si>
  <si>
    <t>00020126740014br.gov.bcb.pix013686b26441-94eb-4523-9e8a-79120d007b940212000054798391520400005303986540535.005802BR5907TIM S A6009SAO PAULO62290525R36000054798391030615375163040059</t>
  </si>
  <si>
    <t>054.793.506-41</t>
  </si>
  <si>
    <t>1.354086161</t>
  </si>
  <si>
    <t>00020126740014br.gov.bcb.pix013686b26441-94eb-4523-9e8a-79120d007b940212000059125759520400005303986540532.975802BR5907TIM S A6009SAO PAULO62290525R0500005912575909060956386304ED7D</t>
  </si>
  <si>
    <t>959.592.206-44</t>
  </si>
  <si>
    <t>1.354496914</t>
  </si>
  <si>
    <t>28.011.665/0001-10</t>
  </si>
  <si>
    <t>1.354058975</t>
  </si>
  <si>
    <t>311.815.338-56</t>
  </si>
  <si>
    <t>1.351227136</t>
  </si>
  <si>
    <t>00020126740014br.gov.bcb.pix013686b26441-94eb-4523-9e8a-79120d007b940212000054798995520400005303986540576.245802BR5907TIM S A6009SAO PAULO62290525R3600005479899505061103246304396C</t>
  </si>
  <si>
    <t>905.569.174-72</t>
  </si>
  <si>
    <t>1.353867677</t>
  </si>
  <si>
    <t>00020126740014br.gov.bcb.pix013686b26441-94eb-4523-9e8a-79120d007b940212000059079197520400005303986540525.005802BR5907TIM S A6009SAO PAULO62290525R0500005907919705061352116304D620</t>
  </si>
  <si>
    <t>089.822.274-58</t>
  </si>
  <si>
    <t>1.353693932</t>
  </si>
  <si>
    <t xml:space="preserve">00020126740014br.gov.bcb.pix013686b26441-94eb-4523-9e8a-79120d007b940212000059076002520400005303986540542.445802BR5907TIM S A6009SAO PAULO62290525R05000059076002050611570163043319
</t>
  </si>
  <si>
    <t>371.639.494-72</t>
  </si>
  <si>
    <t>1.353708326</t>
  </si>
  <si>
    <t>00020126740014br.gov.bcb.pix013686b26441-94eb-4523-9e8a-79120d007b940212530013236995520400005303986540539.925802BR5907TIM S A6009SAO PAULO62290525R055300132369950506172633630464B8</t>
  </si>
  <si>
    <t>780.891.404-59</t>
  </si>
  <si>
    <t>1.352807799</t>
  </si>
  <si>
    <t>MIKAELLY  SMB</t>
  </si>
  <si>
    <t xml:space="preserve"> 00020126740014br.gov.bcb.pix013686b26441-94eb-4523-9e8a-79120d007b940212000059065405520400005303986540567.535802BR5907TIM S A6009SAO PAULO62290525R0500005906540504061733266304D244</t>
  </si>
  <si>
    <t>891.647.924-04</t>
  </si>
  <si>
    <t>1.351532330</t>
  </si>
  <si>
    <t xml:space="preserve">MIKAELLY </t>
  </si>
  <si>
    <t>:00020126740014br.gov.bcb.pix013686b26441-94eb-4523-9e8a-79120d007b940212000059045453520400005303986540522.005802BR5907TIM S A6009SAO PAULO62290525R05000059045453030616473463049D63</t>
  </si>
  <si>
    <t>135.291.174-47</t>
  </si>
  <si>
    <t>1.354019915</t>
  </si>
  <si>
    <t>TAIANARA</t>
  </si>
  <si>
    <t>00020126740014br.gov.bcb.pix013686b26441-94eb-4523-9e8a-79120d007b940212000059084322520400005303986540526.905802BR5907TIM S A6009SAO PAULO62290525R0500005908432205061714436304985A</t>
  </si>
  <si>
    <t>036.668.174-59</t>
  </si>
  <si>
    <t>1.352790602</t>
  </si>
  <si>
    <t>00020126740014br.gov.bcb.pix013686b26441-94eb-4523-9e8a-79120d007b940212000059068676520400005303986540540.005802BR5907TIM S A6009SAO PAULO62290525R05000059068676050608004863049025</t>
  </si>
  <si>
    <t>518.210.794-34</t>
  </si>
  <si>
    <t>1.354497867</t>
  </si>
  <si>
    <t>712.765.544-86</t>
  </si>
  <si>
    <t>1.353845742</t>
  </si>
  <si>
    <t>00020126740014br.gov.bcb.pix013686b26441-94eb-4523-9e8a-79120d007b940212000059045453520400005303986540522.005802BR5907TIM S A6009SAO PAULO62290525R05000059045453030616473463049D63</t>
  </si>
  <si>
    <t>482.034.403-04</t>
  </si>
  <si>
    <t>1.351809309</t>
  </si>
  <si>
    <t>00020126740014br.gov.bcb.pix013686b26441-94eb-4523-9e8a-79120d007b940212000059122924520400005303986540530.795802BR5907TIM S A6009SAO PAULO62290525R05000059122924090608133463044F71</t>
  </si>
  <si>
    <t>658.790.583-87</t>
  </si>
  <si>
    <t>1.353285885</t>
  </si>
  <si>
    <t xml:space="preserve">00020126740014br.gov.bcb.pix013686b26441-94eb-4523-9e8a-79120d007b940212000059076501520400005303986540540.575802BR5907TIM S A6009SAO PAULO62290525R05000059076501050612141063047025
</t>
  </si>
  <si>
    <t>446.082.173-72</t>
  </si>
  <si>
    <t>1.354597676</t>
  </si>
  <si>
    <t>227.571.123-68</t>
  </si>
  <si>
    <t>1.353131406</t>
  </si>
  <si>
    <t>00020126740014br.gov.bcb.pix013686b26441-94eb-4523-9e8a-79120d007b940212000059126561520400005303986540540.595802BR5907TIM S A6009SAO PAULO62290525R0500005912656109061026086304818F</t>
  </si>
  <si>
    <t>351.050.893-91</t>
  </si>
  <si>
    <t>1.352750670</t>
  </si>
  <si>
    <t>00020126740014br.gov.bcb.pix013686b26441-94eb-4523-9e8a-79120d007b940212000059127892520400005303986540535.055802BR5907TIM S A6009SAO PAULO62290525R0500005912789209061120366304D8D4</t>
  </si>
  <si>
    <t>174.595.847-97</t>
  </si>
  <si>
    <t>1.353417687</t>
  </si>
  <si>
    <t xml:space="preserve"> 00020126740014br.gov.bcb.pix013686b26441-94eb-4523-9e8a-79120d007b940212000059064240520400005303986540520.005802BR5907TIM S A6009SAO PAULO62290525R050000590642400406145036630499E0
</t>
  </si>
  <si>
    <t>987.807.787-04</t>
  </si>
  <si>
    <t>1.352184753</t>
  </si>
  <si>
    <t xml:space="preserve">00020126740014br.gov.bcb.pix013686b26441-94eb-4523-9e8a-79120d007b940212000059106456520400005303986540520.005802BR5907TIM S A6009SAO PAULO62290525R05000059106456080610340263048E7D
</t>
  </si>
  <si>
    <t>030.057.457-67</t>
  </si>
  <si>
    <t>1.351505072</t>
  </si>
  <si>
    <t>00020126740014br.gov.bcb.pix013686b26441-94eb-4523-9e8a-79120d007b940212000054798861520400005303986540550.405802BR5907TIM S A6009SAO PAULO62290525R36000054798861050609240763040812</t>
  </si>
  <si>
    <t>138.081.837-05</t>
  </si>
  <si>
    <t>1.353632753</t>
  </si>
  <si>
    <t>00020126740014br.gov.bcb.pix013686b26441-94eb-4523-9e8a-79120d007b940212000059131215520400005303986540556.835802BR5907TIM S A6009SAO PAULO62290525R050000591312150906142831630496BF</t>
  </si>
  <si>
    <t>107.112.287-87</t>
  </si>
  <si>
    <t>1.353778946</t>
  </si>
  <si>
    <t>00020126740014br.gov.bcb.pix013686b26441-94eb-4523-9e8a-79120d007b940212000059112995520400005303986540522.385802BR5907TIM S A6009SAO PAULO62290525R05000059112995080615241063041C12</t>
  </si>
  <si>
    <t>017.593.957-81</t>
  </si>
  <si>
    <t>1.353313337</t>
  </si>
  <si>
    <t xml:space="preserve">00020126740014br.gov.bcb.pix013686b26441-94eb-4523-9e8a-79120d007b940212000059103477520400005303986540560.295802BR5907TIM S A6009SAO PAULO62290525R0500005910347708060851176304D9E2
</t>
  </si>
  <si>
    <t>126.588.357-28</t>
  </si>
  <si>
    <t>1.353685815</t>
  </si>
  <si>
    <t>00020126740014br.gov.bcb.pix013686b26441-94eb-4523-9e8a-79120d007b940212000059112757520400005303986540521.965802BR5907TIM S A6009SAO PAULO62290525R0500005911275708061512266304A912</t>
  </si>
  <si>
    <t>088.388.477-11</t>
  </si>
  <si>
    <t>1.354005673</t>
  </si>
  <si>
    <t xml:space="preserve">00020126740014br.gov.bcb.pix013686b26441-94eb-4523-9e8a-79120d007b940212000059143056520400005303986540525.825802BR5907TIM S A6009SAO PAULO62290525R050000591430561006102218630457F2
</t>
  </si>
  <si>
    <t>916.125.004-04</t>
  </si>
  <si>
    <t>1.354416286</t>
  </si>
  <si>
    <t>017.392.414-01</t>
  </si>
  <si>
    <t>1.352779231</t>
  </si>
  <si>
    <t>088.536.784-70</t>
  </si>
  <si>
    <t>1.354414080</t>
  </si>
  <si>
    <t>055.670.784-20</t>
  </si>
  <si>
    <t>1.352971291</t>
  </si>
  <si>
    <t>033.883.004-96</t>
  </si>
  <si>
    <t>1.354492080</t>
  </si>
  <si>
    <t>121.248.514-97</t>
  </si>
  <si>
    <t>1.354202103</t>
  </si>
  <si>
    <t>813.888.024-49</t>
  </si>
  <si>
    <t>1.354496523</t>
  </si>
  <si>
    <t>064.132.494-47</t>
  </si>
  <si>
    <t>1.351972572</t>
  </si>
  <si>
    <t>00020126740014br.gov.bcb.pix013686b26441-94eb-4523-9e8a-79120d007b940212000054801778520400005303986540550.005802BR5907TIM S A6009SAO PAULO62290525R36000054801778110608190663040463</t>
  </si>
  <si>
    <t>322.980.994-72</t>
  </si>
  <si>
    <t>1.354291772</t>
  </si>
  <si>
    <t>538.819.074-91</t>
  </si>
  <si>
    <t>1.354458774</t>
  </si>
  <si>
    <t>061.222.914-98</t>
  </si>
  <si>
    <t>1.351576413</t>
  </si>
  <si>
    <t>046.995.964-95</t>
  </si>
  <si>
    <t>1.354444827</t>
  </si>
  <si>
    <t>106.229.344-49</t>
  </si>
  <si>
    <t>1.353521223</t>
  </si>
  <si>
    <t>00020126740014br.gov.bcb.pix013686b26441-94eb-4523-9e8a-79120d007b940212000059148060520400005303986540515.225802BR5907TIM S A6009SAO PAULO62290525R05000059148060100614132763046C7B</t>
  </si>
  <si>
    <t>430.356.554-72</t>
  </si>
  <si>
    <t>1.352981503</t>
  </si>
  <si>
    <t>466.845.144-49</t>
  </si>
  <si>
    <t>1.353547274</t>
  </si>
  <si>
    <t>00020126740014br.gov.bcb.pix013686b26441-94eb-4523-9e8a-79120d007b940212000059145546520400005303986540524.415802BR5907TIM S A6009SAO PAULO62290525R0500005914554610061205006304D90D</t>
  </si>
  <si>
    <t>117.430.208-99</t>
  </si>
  <si>
    <t>1.352809141</t>
  </si>
  <si>
    <t>00020126740014br.gov.bcb.pix013686b26441-94eb-4523-9e8a-79120d007b940212000059161364520400005303986540520.305802BR5907TIM S A6009SAO PAULO62290525R050000591613641106112047630473BB</t>
  </si>
  <si>
    <t>673.383.484-72</t>
  </si>
  <si>
    <t>1.353608894</t>
  </si>
  <si>
    <t>MIKALLY</t>
  </si>
  <si>
    <t xml:space="preserve">00020126740014br.gov.bcb.pix013686b26441-94eb-4523-9e8a-79120d007b940212000059084753520400005303986540530.445802BR5907TIM S A6009SAO PAULO62290525R05000059084753060601003063046955
</t>
  </si>
  <si>
    <t>654.375.784-15</t>
  </si>
  <si>
    <t>1.353723655</t>
  </si>
  <si>
    <t>00020126740014br.gov.bcb.pix013686b26441-94eb-4523-9e8a-79120d007b94021200005911593252040000530398654048.975802BR5907TIM S A6009SAO PAULO62290525R0500005911593208061727286304A203</t>
  </si>
  <si>
    <t>123.964.284-97</t>
  </si>
  <si>
    <t>1.354165910</t>
  </si>
  <si>
    <t>017.129.484-07</t>
  </si>
  <si>
    <t>1.352241454</t>
  </si>
  <si>
    <t>MOKA SMB</t>
  </si>
  <si>
    <t>00020126740014br.gov.bcb.pix013686b26441-94eb-4523-9e8a-79120d007b940212000059115792520400005303986540520.415802BR5907TIM S A6009SAO PAULO62290525R0500005911579208061721346304E2B4</t>
  </si>
  <si>
    <t>032.316.254-16</t>
  </si>
  <si>
    <t>1.353072218</t>
  </si>
  <si>
    <t xml:space="preserve">00020126740014br.gov.bcb.pix013686b26441-94eb-4523-9e8a-79120d007b940212000059025577520400005303986540510.005802BR5907TIM S A6009SAO PAULO62290525R0500005902557702061518156304D297 </t>
  </si>
  <si>
    <t>088.657.514-10</t>
  </si>
  <si>
    <t>1.351502240</t>
  </si>
  <si>
    <t>00020126740014br.gov.bcb.pix013686b26441-94eb-4523-9e8a-79120d007b940212000059047612520400005303986540531.235802BR5907TIM S A6009SAO PAULO62290525R0500005904761203061751416304F396</t>
  </si>
  <si>
    <t>072.151.247-03</t>
  </si>
  <si>
    <t>1.354327610</t>
  </si>
  <si>
    <t>356.912.125-91</t>
  </si>
  <si>
    <t>1.352565415</t>
  </si>
  <si>
    <t xml:space="preserve">SHIRLEY  </t>
  </si>
  <si>
    <t>00020126740014br.gov.bcb.pix013686b26441-94eb-4523-9e8a-79120d007b940212000059027451520400005303986540522.615802BR5907TIM S A6009SAO PAULO62290525R05000059027451020616444763047540</t>
  </si>
  <si>
    <t>616.026.802-30</t>
  </si>
  <si>
    <t xml:space="preserve">00020126740014br.gov.bcb.pix013686b26441-94eb-4523-9e8a-79120d007b940212000059142239520400005303986540544.935802BR5907TIM S A6009SAO PAULO62290525R050000591422391006101912630480D0
</t>
  </si>
  <si>
    <t>38100422000101</t>
  </si>
  <si>
    <t>7.2199381</t>
  </si>
  <si>
    <t>JUNHO M9</t>
  </si>
  <si>
    <t>00020126740014br.gov.bcb.pix013686b26441-94eb-4523-9e8a-79120d007b9402120000590257595204000053039865406174.835802BR5907TIM S A6009SAO PAULO62290525R0500005902575902061526286304CEC4</t>
  </si>
  <si>
    <t>60100543000102</t>
  </si>
  <si>
    <t>7.2192751.10</t>
  </si>
  <si>
    <t>00020126740014br.gov.bcb.pix013686b26441-94eb-4523-9e8a-79120d007b940212000059025775520400005303986540534.865802BR5907TIM S A6009SAO PAULO62290525R0500005902577502061527276304DCB7</t>
  </si>
  <si>
    <t>38419686000122</t>
  </si>
  <si>
    <t>7.2192493.10</t>
  </si>
  <si>
    <t>00020126740014br.gov.bcb.pix013686b26441-94eb-4523-9e8a-79120d007b940212000059025814520400005303986540521.095802BR5907TIM S A6009SAO PAULO62290525R05000059025814020615285163042D71</t>
  </si>
  <si>
    <t>51901449000161</t>
  </si>
  <si>
    <t>7.2192616.10</t>
  </si>
  <si>
    <t>00020126740014br.gov.bcb.pix013686b26441-94eb-4523-9e8a-79120d007b940212000059025846520400005303986540512.115802BR5907TIM S A6009SAO PAULO62290525R0500005902584602061530006304FDCF</t>
  </si>
  <si>
    <t>32763410000180</t>
  </si>
  <si>
    <t>7.2192289.10</t>
  </si>
  <si>
    <t>00020126740014br.gov.bcb.pix013686b26441-94eb-4523-9e8a-79120d007b940212000059025873520400005303986540530.245802BR5907TIM S A6009SAO PAULO62290525R0500005902587302061531516304A323</t>
  </si>
  <si>
    <t>45706825000164</t>
  </si>
  <si>
    <t>00020126740014br.gov.bcb.pix013686b26441-94eb-4523-9e8a-79120d007b940212000054797752520400005303986540533.915802BR5907TIM S A6009SAO PAULO62290525R3600005479775202061534326304DE50</t>
  </si>
  <si>
    <t>54082972000100</t>
  </si>
  <si>
    <t>7.2190420</t>
  </si>
  <si>
    <t>00020126740014br.gov.bcb.pix013686b26441-94eb-4523-9e8a-79120d007b940212000059025967520400005303986540535.455802BR5907TIM S A6009SAO PAULO62290525R05000059025967020615354663046685</t>
  </si>
  <si>
    <t>40674422000167</t>
  </si>
  <si>
    <t>7.2190233</t>
  </si>
  <si>
    <t>00020126740014br.gov.bcb.pix013686b26441-94eb-4523-9e8a-79120d007b9402120000590260045204000053039865406216.665802BR5907TIM S A6009SAO PAULO62290525R05000059026004020615371563042063</t>
  </si>
  <si>
    <t>44888153000192</t>
  </si>
  <si>
    <t>7.2185780.10</t>
  </si>
  <si>
    <t>00020126740014br.gov.bcb.pix013686b26441-94eb-4523-9e8a-79120d007b940212000059026033520400005303986540517.475802BR5907TIM S A6009SAO PAULO62290525R05000059026033020615382063043236</t>
  </si>
  <si>
    <t>56323370000114</t>
  </si>
  <si>
    <t>7.2172393.10</t>
  </si>
  <si>
    <t>00020126740014br.gov.bcb.pix013686b26441-94eb-4523-9e8a-79120d007b9402120000547977565204000053039865406303.415802BR5907TIM S A6009SAO PAULO62290525R36000054797756020615394563043696</t>
  </si>
  <si>
    <t>35890943000111</t>
  </si>
  <si>
    <t>7.2193788.10</t>
  </si>
  <si>
    <t>00020126740014br.gov.bcb.pix013686b26441-94eb-4523-9e8a-79120d007b940212000054798320520400005303986540521.045802BR5907TIM S A6009SAO PAULO62290525R36000054798320030614214363044C5C</t>
  </si>
  <si>
    <t>7.2197956</t>
  </si>
  <si>
    <t>00020126740014br.gov.bcb.pix013686b26441-94eb-4523-9e8a-79120d007b940212000059041832520400005303986540529.925802BR5907TIM S A6009SAO PAULO62290525R0500005904183203061424046304FEB9</t>
  </si>
  <si>
    <t>57364483000120</t>
  </si>
  <si>
    <t>7.2190810.10</t>
  </si>
  <si>
    <t>00020126740014br.gov.bcb.pix013686b26441-94eb-4523-9e8a-79120d007b940212000059041866520400005303986540526.615802BR5907TIM S A6009SAO PAULO62290525R050000590418660306142514630454F7</t>
  </si>
  <si>
    <t>60809057000168</t>
  </si>
  <si>
    <t>7.2190306</t>
  </si>
  <si>
    <t>00020126740014br.gov.bcb.pix013686b26441-94eb-4523-9e8a-79120d007b940212000054798326520400005303986540529.255802BR5907TIM S A6009SAO PAULO62290525R3600005479832603061426326304F884</t>
  </si>
  <si>
    <t>30796623000183</t>
  </si>
  <si>
    <t>7.2168711</t>
  </si>
  <si>
    <t>00020126740014br.gov.bcb.pix013686b26441-94eb-4523-9e8a-79120d007b940212000059041925520400005303986540513.535802BR5907TIM S A6009SAO PAULO62290525R05000059041925030614281263048E2D</t>
  </si>
  <si>
    <t>54268774000127</t>
  </si>
  <si>
    <t>7.2192683.10</t>
  </si>
  <si>
    <t>00020126740014br.gov.bcb.pix013686b26441-94eb-4523-9e8a-79120d007b94021200005907138652040000530398654047.545802BR5907TIM S A6009SAO PAULO62290525R0500005907138605060936406304BFA5</t>
  </si>
  <si>
    <t>60414781000192</t>
  </si>
  <si>
    <t>7.2190563.10</t>
  </si>
  <si>
    <t>00020126740014br.gov.bcb.pix013686b26441-94eb-4523-9e8a-79120d007b940212000059071420520400005303986540510.675802BR5907TIM S A6009SAO PAULO62290525R0500005907142005060938056304D626</t>
  </si>
  <si>
    <t>22443230000168</t>
  </si>
  <si>
    <t>7.2191443.10</t>
  </si>
  <si>
    <t>00020126740014br.gov.bcb.pix013686b26441-94eb-4523-9e8a-79120d007b94021200005907148552040000530398654048.205802BR5907TIM S A6009SAO PAULO62290525R0500005907148505060939396304DD8E</t>
  </si>
  <si>
    <t>49529196000103</t>
  </si>
  <si>
    <t>7.2184492.10</t>
  </si>
  <si>
    <t>00020126740014br.gov.bcb.pix013686b26441-94eb-4523-9e8a-79120d007b94021200005907151452040000530398654048.115802BR5907TIM S A6009SAO PAULO62290525R0500005907151405060941076304A547</t>
  </si>
  <si>
    <t>29978963000146</t>
  </si>
  <si>
    <t>7.2172395.10</t>
  </si>
  <si>
    <t>00020126740014br.gov.bcb.pix013686b26441-94eb-4523-9e8a-79120d007b940212000054798885520400005303986540538.695802BR5907TIM S A6009SAO PAULO62290525R36000054798885050609433663049F0E</t>
  </si>
  <si>
    <t>11095294000107</t>
  </si>
  <si>
    <t>7.1441629</t>
  </si>
  <si>
    <t>00020126740014br.gov.bcb.pix013686b26441-94eb-4523-9e8a-79120d007b9402120000590716185204000053039865406153.305802BR5907TIM S A6009SAO PAULO62290525R05000059071618050609444163048032</t>
  </si>
  <si>
    <t>10405547000120</t>
  </si>
  <si>
    <t>7.2052006</t>
  </si>
  <si>
    <t>00020126740014br.gov.bcb.pix013686b26441-94eb-4523-9e8a-79120d007b9402120000547988885204000053039865406341.115802BR5907TIM S A6009SAO PAULO62290525R36000054798888050609454963049E42</t>
  </si>
  <si>
    <t>05916156000130</t>
  </si>
  <si>
    <t>7.2174045</t>
  </si>
  <si>
    <t>00020126740014br.gov.bcb.pix013686b26441-94eb-4523-9e8a-79120d007b940212000059071719520400005303986540571.655802BR5907TIM S A6009SAO PAULO62290525R0500005907171905060946516304215B</t>
  </si>
  <si>
    <t>32918657000129</t>
  </si>
  <si>
    <t>7.2174108</t>
  </si>
  <si>
    <t>00020126740014br.gov.bcb.pix013686b26441-94eb-4523-9e8a-79120d007b940212000054798891520400005303986540573.095802BR5907TIM S A6009SAO PAULO62290525R36000054798891050609480463045E69</t>
  </si>
  <si>
    <t>7.2169575</t>
  </si>
  <si>
    <t>00020126740014br.gov.bcb.pix013686b26441-94eb-4523-9e8a-79120d007b940212000054798893520400005303986540577.205802BR5907TIM S A6009SAO PAULO62290525R36000054798893050609490663048C96</t>
  </si>
  <si>
    <t>35637087000197</t>
  </si>
  <si>
    <t>7.2198503</t>
  </si>
  <si>
    <t>00020126740014br.gov.bcb.pix013686b26441-94eb-4523-9e8a-79120d007b940212100021586472520400005303986540582.485802BR5907TIM S A6009SAO PAULO62290525R05100021586472050612461863045BA7</t>
  </si>
  <si>
    <t>20207205000150</t>
  </si>
  <si>
    <t>7.2194711</t>
  </si>
  <si>
    <t>00020126740014br.gov.bcb.pix013686b26441-94eb-4523-9e8a-79120d007b940212100021586513520400005303986540521.995802BR5907TIM S A6009SAO PAULO62290525R0510002158651305061247246304A86A</t>
  </si>
  <si>
    <t>07184370000175</t>
  </si>
  <si>
    <t>7.2195630</t>
  </si>
  <si>
    <t>00020126740014br.gov.bcb.pix013686b26441-94eb-4523-9e8a-79120d007b940212100021586539520400005303986540526.395802BR5907TIM S A6009SAO PAULO62290525R05100021586539050612482863046479</t>
  </si>
  <si>
    <t>03103015000173</t>
  </si>
  <si>
    <t>7.2187050</t>
  </si>
  <si>
    <t>00020126740014br.gov.bcb.pix013686b26441-94eb-4523-9e8a-79120d007b940212100021586562520400005303986540521.995802BR5907TIM S A6009SAO PAULO62290525R051000215865620506124918630401A2</t>
  </si>
  <si>
    <t>40737508000191</t>
  </si>
  <si>
    <t>7.2180758</t>
  </si>
  <si>
    <t>00020126740014br.gov.bcb.pix013686b26441-94eb-4523-9e8a-79120d007b940212100021586580520400005303986540558.615802BR5907TIM S A6009SAO PAULO62290525R05100021586580050612501863046370</t>
  </si>
  <si>
    <t>18804581000180</t>
  </si>
  <si>
    <t>7.2174576</t>
  </si>
  <si>
    <t>00020126740014br.gov.bcb.pix013686b26441-94eb-4523-9e8a-79120d007b940212100021586598520400005303986540544.025802BR5907TIM S A6009SAO PAULO62290525R05100021586598050612511263049A4A</t>
  </si>
  <si>
    <t>50160350000193</t>
  </si>
  <si>
    <t>7.2174194.10</t>
  </si>
  <si>
    <t>00020126740014br.gov.bcb.pix013686b26441-94eb-4523-9e8a-79120d007b940212100021586663520400005303986540536.305802BR5907TIM S A6009SAO PAULO62290525R0510002158666305061252146304091E</t>
  </si>
  <si>
    <t>52259162000142</t>
  </si>
  <si>
    <t>7.2169135</t>
  </si>
  <si>
    <t>00020126740014br.gov.bcb.pix013686b26441-94eb-4523-9e8a-79120d007b940212100021586703520400005303986540544.335802BR5907TIM S A6009SAO PAULO62290525R05100021586703050612530563044096</t>
  </si>
  <si>
    <t>54781046000114</t>
  </si>
  <si>
    <t>7.2169752.10</t>
  </si>
  <si>
    <t>00020126740014br.gov.bcb.pix013686b26441-94eb-4523-9e8a-79120d007b940212100021586728520400005303986540532.795802BR5907TIM S A6009SAO PAULO62290525R051000215867280506125354630452FB</t>
  </si>
  <si>
    <t>57168892000151</t>
  </si>
  <si>
    <t>7.2167917</t>
  </si>
  <si>
    <t>00020126740014br.gov.bcb.pix013686b26441-94eb-4523-9e8a-79120d007b940212100021586750520400005303986540566.655802BR5907TIM S A6009SAO PAULO62290525R0510002158675005061254536304D86F</t>
  </si>
  <si>
    <t>27658916000190</t>
  </si>
  <si>
    <t>7.2191030</t>
  </si>
  <si>
    <t>00020126740014br.gov.bcb.pix013686b26441-94eb-4523-9e8a-79120d007b940212000059110469520400005303986540529.625802BR5907TIM S A6009SAO PAULO62290525R0500005911046908061331346304D093</t>
  </si>
  <si>
    <t>19707997000142</t>
  </si>
  <si>
    <t>7.2192051</t>
  </si>
  <si>
    <t>00020126740014br.gov.bcb.pix013686b26441-94eb-4523-9e8a-79120d007b9402120000548002155204000053039865406121.495802BR5907TIM S A6009SAO PAULO62290525R3600005480021508061333386304FB26</t>
  </si>
  <si>
    <t>33468996000113</t>
  </si>
  <si>
    <t>7.2190675</t>
  </si>
  <si>
    <t>00020126740014br.gov.bcb.pix013686b26441-94eb-4523-9e8a-79120d007b940212000054800216520400005303986540541.975802BR5907TIM S A6009SAO PAULO62290525R36000054800216080613354763042ED8</t>
  </si>
  <si>
    <t>03364482000157</t>
  </si>
  <si>
    <t>7.2187153</t>
  </si>
  <si>
    <t>00020126740014br.gov.bcb.pix013686b26441-94eb-4523-9e8a-79120d007b940212000059110613520400005303986540540.415802BR5907TIM S A6009SAO PAULO62290525R0500005911061308061337576304E616</t>
  </si>
  <si>
    <t>39662427000190</t>
  </si>
  <si>
    <t>7.2186207</t>
  </si>
  <si>
    <t>00020126740014br.gov.bcb.pix013686b26441-94eb-4523-9e8a-79120d007b940212000059110650520400005303986540515.535802BR5907TIM S A6009SAO PAULO62290525R05000059110650080613385063046E5F</t>
  </si>
  <si>
    <t>47757218000159</t>
  </si>
  <si>
    <t>7.2179633</t>
  </si>
  <si>
    <t>00020126740014br.gov.bcb.pix013686b26441-94eb-4523-9e8a-79120d007b940212000059110685520400005303986540523.055802BR5907TIM S A6009SAO PAULO62290525R05000059110685080613400163045FFF</t>
  </si>
  <si>
    <t>39404957000139</t>
  </si>
  <si>
    <t>7.2178459</t>
  </si>
  <si>
    <t>00020126740014br.gov.bcb.pix013686b26441-94eb-4523-9e8a-79120d007b940212000059110718520400005303986540530.205802BR5907TIM S A6009SAO PAULO62290525R0500005911071808061341046304E0F9</t>
  </si>
  <si>
    <t>14774653000132</t>
  </si>
  <si>
    <t>7.2177175</t>
  </si>
  <si>
    <t>00020126740014br.gov.bcb.pix013686b26441-94eb-4523-9e8a-79120d007b940212000059110734520400005303986540515.515802BR5907TIM S A6009SAO PAULO62290525R05000059110734080613420363041966</t>
  </si>
  <si>
    <t>02375913000460</t>
  </si>
  <si>
    <t>7.2175925</t>
  </si>
  <si>
    <t>00020126740014br.gov.bcb.pix013686b26441-94eb-4523-9e8a-79120d007b940212000059110765520400005303986540515.485802BR5907TIM S A6009SAO PAULO62290525R0500005911076508061343006304E57B</t>
  </si>
  <si>
    <t>25388869000186</t>
  </si>
  <si>
    <t>7.2172494</t>
  </si>
  <si>
    <t>00020126740014br.gov.bcb.pix013686b26441-94eb-4523-9e8a-79120d007b940212000059110781520400005303986540560.635802BR5907TIM S A6009SAO PAULO62290525R0500005911078108061343596304BAE6</t>
  </si>
  <si>
    <t>012.170.532-39</t>
  </si>
  <si>
    <t>1.354755672</t>
  </si>
  <si>
    <t>981.254.862-91</t>
  </si>
  <si>
    <t>1.354484902</t>
  </si>
  <si>
    <t>426.233.162-87</t>
  </si>
  <si>
    <t>1.354850369</t>
  </si>
  <si>
    <t>28335820001397</t>
  </si>
  <si>
    <t>7.2198558</t>
  </si>
  <si>
    <t>00020126740014br.gov.bcb.pix013686b26441-94eb-4523-9e8a-79120d007b940212000059144481520400005303986540527.885802BR5907TIM S A6009SAO PAULO62290525R050000591444811006112151630413C5</t>
  </si>
  <si>
    <t>28335820001559</t>
  </si>
  <si>
    <t>7.2198641</t>
  </si>
  <si>
    <t>00020126740014br.gov.bcb.pix013686b26441-94eb-4523-9e8a-79120d007b940212000059144521520400005303986540527.885802BR5907TIM S A6009SAO PAULO62290525R050000591445211006112249630467A0</t>
  </si>
  <si>
    <t>28335820002954</t>
  </si>
  <si>
    <t>7.2198572</t>
  </si>
  <si>
    <t>00020126740014br.gov.bcb.pix013686b26441-94eb-4523-9e8a-79120d007b940212000059144558520400005303986540527.885802BR5907TIM S A6009SAO PAULO62290525R05000059144558100611235663046E3F</t>
  </si>
  <si>
    <t>24970235000174</t>
  </si>
  <si>
    <t>7.2197462</t>
  </si>
  <si>
    <t>00020126740014br.gov.bcb.pix013686b26441-94eb-4523-9e8a-79120d007b940212000059144620520400005303986540527.885802BR5907TIM S A6009SAO PAULO62290525R0500005914462010061126036304CE88</t>
  </si>
  <si>
    <t>21511023000130</t>
  </si>
  <si>
    <t>7.2196983</t>
  </si>
  <si>
    <t>00020126740014br.gov.bcb.pix013686b26441-94eb-4523-9e8a-79120d007b940212000059144644520400005303986540513.635802BR5907TIM S A6009SAO PAULO62290525R05000059144644100611270863041901</t>
  </si>
  <si>
    <t>40571914000127</t>
  </si>
  <si>
    <t>7.2185453</t>
  </si>
  <si>
    <t>00020126740014br.gov.bcb.pix013686b26441-94eb-4523-9e8a-79120d007b940212000059144654520400005303986540513.655802BR5907TIM S A6009SAO PAULO62290525R05000059144654100611280263043FDD</t>
  </si>
  <si>
    <t>45742346000101</t>
  </si>
  <si>
    <t>7.2185031.10</t>
  </si>
  <si>
    <t>00020126740014br.gov.bcb.pix013686b26441-94eb-4523-9e8a-79120d007b940212000054801373520400005303986540528.225802BR5907TIM S A6009SAO PAULO62290525R360000548013731006112926630457F8</t>
  </si>
  <si>
    <t>41253772000112</t>
  </si>
  <si>
    <t>7.2178360</t>
  </si>
  <si>
    <t>00020126740014br.gov.bcb.pix013686b26441-94eb-4523-9e8a-79120d007b940212000054801375520400005303986540528.125802BR5907TIM S A6009SAO PAULO62290525R360000548013751006113118630416B8</t>
  </si>
  <si>
    <t>07248172000128</t>
  </si>
  <si>
    <t>7.2174875</t>
  </si>
  <si>
    <t>00020126740014br.gov.bcb.pix013686b26441-94eb-4523-9e8a-79120d007b940212000059144760520400005303986540515.275802BR5907TIM S A6009SAO PAULO62290525R05000059144760100611322063048C99</t>
  </si>
  <si>
    <t>32089398000170</t>
  </si>
  <si>
    <t>7.2173935</t>
  </si>
  <si>
    <t>00020126740014br.gov.bcb.pix013686b26441-94eb-4523-9e8a-79120d007b940212000054801379520400005303986540556.485802BR5907TIM S A6009SAO PAULO62290525R36000054801379100611333763045E28</t>
  </si>
  <si>
    <t>33681232000101</t>
  </si>
  <si>
    <t>7.2197391</t>
  </si>
  <si>
    <t>00020126740014br.gov.bcb.pix013686b26441-94eb-4523-9e8a-79120d007b940212000059145164520400005303986540520.125802BR5907TIM S A6009SAO PAULO62290525R0500005914516410061149476304F162</t>
  </si>
  <si>
    <t>55769628000148</t>
  </si>
  <si>
    <t>7.2192151</t>
  </si>
  <si>
    <t>00020126740014br.gov.bcb.pix013686b26441-94eb-4523-9e8a-79120d007b940212000059145201520400005303986540512.135802BR5907TIM S A6009SAO PAULO62290525R05000059145201100611511763041F8F</t>
  </si>
  <si>
    <t>43573158000163</t>
  </si>
  <si>
    <t>7.2192242</t>
  </si>
  <si>
    <t>00020126740014br.gov.bcb.pix013686b26441-94eb-4523-9e8a-79120d007b940212000054801395520400005303986540528.035802BR5907TIM S A6009SAO PAULO62290525R360000548013951006115238630421A3</t>
  </si>
  <si>
    <t>28301673000109</t>
  </si>
  <si>
    <t>7.2192135.10</t>
  </si>
  <si>
    <t>00020126740014br.gov.bcb.pix013686b26441-94eb-4523-9e8a-79120d007b940212000059145275520400005303986540512.165802BR5907TIM S A6009SAO PAULO62290525R0500005914527510061153426304B6F9</t>
  </si>
  <si>
    <t>12662322000185</t>
  </si>
  <si>
    <t>7.2179247</t>
  </si>
  <si>
    <t>00020126740014br.gov.bcb.pix013686b26441-94eb-4523-9e8a-79120d007b940212000059145325520400005303986540523.435802BR5907TIM S A6009SAO PAULO62290525R0500005914532510061156136304C9F4</t>
  </si>
  <si>
    <t>28020805000116</t>
  </si>
  <si>
    <t>7.2176917</t>
  </si>
  <si>
    <t>00020126740014br.gov.bcb.pix013686b26441-94eb-4523-9e8a-79120d007b940212000059145358520400005303986540524.085802BR5907TIM S A6009SAO PAULO62290525R0500005914535810061157126304FDCD</t>
  </si>
  <si>
    <t>34792810000140</t>
  </si>
  <si>
    <t>7.2179104</t>
  </si>
  <si>
    <t>00020126740014br.gov.bcb.pix013686b26441-94eb-4523-9e8a-79120d007b9402120000548013995204000053039865406289.095802BR5907TIM S A6009SAO PAULO62290525R3600005480139910061158166304174D</t>
  </si>
  <si>
    <t>27714487000120</t>
  </si>
  <si>
    <t>7.2172390</t>
  </si>
  <si>
    <t>20188642000173</t>
  </si>
  <si>
    <t>7.2169185</t>
  </si>
  <si>
    <t>00020126740014br.gov.bcb.pix013686b26441-94eb-4523-9e8a-79120d007b940212000059145429520400005303986540523.375802BR5907TIM S A6009SAO PAULO62290525R0500005914542910061200046304494D</t>
  </si>
  <si>
    <t>51455767000146</t>
  </si>
  <si>
    <t>7.2171121.10</t>
  </si>
  <si>
    <t>00020126740014br.gov.bcb.pix013686b26441-94eb-4523-9e8a-79120d007b940212000059145453520400005303986540517.835802BR5907TIM S A6009SAO PAULO62290525R0500005914545310061201066304AA60</t>
  </si>
  <si>
    <t>704.089.102-67</t>
  </si>
  <si>
    <t>1.353452589</t>
  </si>
  <si>
    <t>00020126740014br.gov.bcb.pix013686b26441-94eb-4523-9e8a-79120d007b940212000059169464520400005303986540520.005802BR5907TIM S A6009SAO PAULO62290525R0500005916946411061741156304113D</t>
  </si>
  <si>
    <t>020.183.292-51</t>
  </si>
  <si>
    <t>1.354527302</t>
  </si>
  <si>
    <t>238.855.132-34</t>
  </si>
  <si>
    <t>1.351651928</t>
  </si>
  <si>
    <t>00020126740014br.gov.bcb.pix013686b26441-94eb-4523-9e8a-79120d007b940212000059159332520400005303986540521.495802BR5907TIM S A6009SAO PAULO62290525R0500005915933211060956166304FA6B</t>
  </si>
  <si>
    <t>523.446.572-15</t>
  </si>
  <si>
    <t>00020126740014br.gov.bcb.pix013686b26441-94eb-4523-9e8a-79120d007b940212340013354929520400005303986540543.915802BR5907TIM S A6009SAO PAULO62290525R05340013354929110613125263049070</t>
  </si>
  <si>
    <t>810.286.284-04</t>
  </si>
  <si>
    <t>1.351780555</t>
  </si>
  <si>
    <t>00020126740014br.gov.bcb.pix013686b26441-94eb-4523-9e8a-79120d007b940212000054801876520400005303986540531.805802BR5907TIM S A6009SAO PAULO62290525R360000548018761106101053630428AD</t>
  </si>
  <si>
    <t>238.855.562-00</t>
  </si>
  <si>
    <t>1.354771540</t>
  </si>
  <si>
    <t>779.300.022-68</t>
  </si>
  <si>
    <t>1.354293580</t>
  </si>
  <si>
    <t>00020126740014br.gov.bcb.pix013686b26441-94eb-4523-9e8a-79120d007b940212000059164560520400005303986540538.805802BR5907TIM S A6009SAO PAULO62290525R0500005916456011061411586304D3F4</t>
  </si>
  <si>
    <t>042.764.682-05</t>
  </si>
  <si>
    <t>1.352068148</t>
  </si>
  <si>
    <t xml:space="preserve">00020126740014br.gov.bcb.pix013686b26441-94eb-4523-9e8a-79120d007b940212000054801778520400005303986540550.005802BR5907TIM S A6009SAO PAULO62290525R36000054801778110608190663040463
</t>
  </si>
  <si>
    <t>802.023.902-25</t>
  </si>
  <si>
    <t>1.353938936</t>
  </si>
  <si>
    <t>00020126740014br.gov.bcb.pix013686b26441-94eb-4523-9e8a-79120d007b940212000059164932520400005303986540539.535802BR5907TIM S A6009SAO PAULO62290525R050000591649321206132717630481DB</t>
  </si>
  <si>
    <t>715.549.632-49</t>
  </si>
  <si>
    <t>1.353072093</t>
  </si>
  <si>
    <t>00020126740014br.gov.bcb.pix013686b26441-94eb-4523-9e8a-79120d007b940212000059499207520400005303986540522.405802BR5907TIM S A6009SAO PAULO62290525R0500005949920702071229026304651D</t>
  </si>
  <si>
    <t>200.104.862-91</t>
  </si>
  <si>
    <t>1.351807229</t>
  </si>
  <si>
    <t>KLAINE</t>
  </si>
  <si>
    <t xml:space="preserve">00020126740014br.gov.bcb.pix013686b26441-94eb-4523-9e8a-79120d007b940212000059162621520400005303986540544.575802BR5907TIM S A6009SAO PAULO62290525R0500005916262111061210096304DB83
</t>
  </si>
  <si>
    <t>006.487.662-41</t>
  </si>
  <si>
    <t>1.352345352</t>
  </si>
  <si>
    <t>00020126740014br.gov.bcb.pix013686b26441-94eb-4523-9e8a-79120d007b940212000059168600520400005303986540530.005802BR5907TIM S A6009SAO PAULO62290525R05000059168600110617130963040773</t>
  </si>
  <si>
    <t>059.759.852-50</t>
  </si>
  <si>
    <t>1.354450690</t>
  </si>
  <si>
    <t>035.234.712-06</t>
  </si>
  <si>
    <t>1.352330086</t>
  </si>
  <si>
    <t>00020126740014br.gov.bcb.pix013686b26441-94eb-4523-9e8a-79120d007b940212000054794005520400005303986540537.485802BR5907TIM S A6009SAO PAULO62290525R360000547940051506103447630428AD</t>
  </si>
  <si>
    <t>609.449.192-00</t>
  </si>
  <si>
    <t>1.351572333</t>
  </si>
  <si>
    <t>00020126740014br.gov.bcb.pix013686b26441-94eb-4523-9e8a-79120d007b940212000059177684520400005303986540535.005802BR5907TIM S A6009SAO PAULO62290525R050000591776841206083110630457BA</t>
  </si>
  <si>
    <t>39.625.096/0001-19</t>
  </si>
  <si>
    <t>1.351888634</t>
  </si>
  <si>
    <t>00020126740014br.gov.bcb.pix013686b26441-94eb-4523-9e8a-79120d007b940212000054802439520400005303986540544.315802BR5907TIM S A6009SAO PAULO62290525R3600005480243912060959346304C79A</t>
  </si>
  <si>
    <t>645.308.683-20</t>
  </si>
  <si>
    <t>1.352668598</t>
  </si>
  <si>
    <t>:00020126740014br.gov.bcb.pix013686b26441-94eb-4523-9e8a-79120d007b940212000059163980520400005303986540550.005802BR5907TIM S A6009SAO PAULO62290525R050000591639801106144335630412BB</t>
  </si>
  <si>
    <t>343.422.732-68</t>
  </si>
  <si>
    <t>1.352170713</t>
  </si>
  <si>
    <t>00020126740014br.gov.bcb.pix013686b26441-94eb-4523-9e8a-79120d007b940212000054801916520400005303986540554.775802BR5907TIM S A6009SAO PAULO62290525R36000054801916110611011063048B33</t>
  </si>
  <si>
    <t>833.627.112-00</t>
  </si>
  <si>
    <t>1.353784503</t>
  </si>
  <si>
    <t>00020126740014br.gov.bcb.pix013686b26441-94eb-4523-9e8a-79120d007b940212000059180227520400005303986540533.485802BR5907TIM S A6009SAO PAULO62290525R0500005918022712061005016304A3BC</t>
  </si>
  <si>
    <t>038.801.491-19</t>
  </si>
  <si>
    <t>1.353976142</t>
  </si>
  <si>
    <t>00020126740014br.gov.bcb.pix013686b26441-94eb-4523-9e8a-79120d007b940212000059167522520400005303986540525.005802BR5907TIM S A6009SAO PAULO62290525R0500005916752211061633406304C751</t>
  </si>
  <si>
    <t>004.214.312-88</t>
  </si>
  <si>
    <t>1.351368419</t>
  </si>
  <si>
    <t>00020126740014br.gov.bcb.pix013686b26441-94eb-4523-9e8a-79120d007b940212000059499233520400005303986540529.815802BR5907TIM S A6009SAO PAULO62290525R05000059499233020712301363044FE4</t>
  </si>
  <si>
    <t>014.027.972-57</t>
  </si>
  <si>
    <t>1.351781165</t>
  </si>
  <si>
    <t>00020126740014br.gov.bcb.pix013686b26441-94eb-4523-9e8a-79120d007b940212000054801899520400005303986540537.105802BR5907TIM S A6009SAO PAULO62290525R3600005480189911061036246304BDBE</t>
  </si>
  <si>
    <t>022.194.732-95</t>
  </si>
  <si>
    <t>1.353419811</t>
  </si>
  <si>
    <t>00020126740014br.gov.bcb.pix013686b26441-94eb-4523-9e8a-79120d007b940212000059243111520400005303986540552.795802BR5907TIM S A6009SAO PAULO62290525R0500005924311116061431496304D3CB</t>
  </si>
  <si>
    <t>046.287.712-43</t>
  </si>
  <si>
    <t>1.351535065</t>
  </si>
  <si>
    <t xml:space="preserve"> 00020126740014br.gov.bcb.pix013686b26441-94eb-4523-9e8a-79120d007b940212000059227711520400005303986540558.145802BR5907TIM S A6009SAO PAULO62290525R050000592277111506180109630429AB</t>
  </si>
  <si>
    <t>900.129.252-68</t>
  </si>
  <si>
    <t>1.351645426</t>
  </si>
  <si>
    <t>00020126740014br.gov.bcb.pix013686b26441-94eb-4523-9e8a-79120d007b940212000059499253520400005303986540522.955802BR5907TIM S A6009SAO PAULO62290525R0500005949925302071231146304B920</t>
  </si>
  <si>
    <t>516.507.622-91</t>
  </si>
  <si>
    <t>1.353487706</t>
  </si>
  <si>
    <t>00020126740014br.gov.bcb.pix013686b26441-94eb-4523-9e8a-79120d007b940212000059183394520400005303986540544.715802BR5907TIM S A6009SAO PAULO62290525R0500005918339412061200266304F5EE</t>
  </si>
  <si>
    <t>045.657.072-17</t>
  </si>
  <si>
    <t>1.354769323</t>
  </si>
  <si>
    <t>725.996.852-49</t>
  </si>
  <si>
    <t>1.351811101</t>
  </si>
  <si>
    <t>00020126740014br.gov.bcb.pix013686b26441-94eb-4523-9e8a-79120d007b940212000054801947520400005303986540555.295802BR5907TIM S A6009SAO PAULO62290525R3600005480194711061151076304F7E5</t>
  </si>
  <si>
    <t>570.921.332-20</t>
  </si>
  <si>
    <t>1.352522145</t>
  </si>
  <si>
    <t>00020126740014br.gov.bcb.pix013686b26441-94eb-4523-9e8a-79120d007b940212000059185250520400005303986540544.915802BR5907TIM S A6009SAO PAULO62290525R05000059185250120613511263044F85</t>
  </si>
  <si>
    <t>048.644.342-63</t>
  </si>
  <si>
    <t>1.353522044</t>
  </si>
  <si>
    <t>00020126740014br.gov.bcb.pix013686b26441-94eb-4523-9e8a-79120d007b940212000054801944520400005303986540564.255802BR5907TIM S A6009SAO PAULO62290525R36000054801944110611451763046599</t>
  </si>
  <si>
    <t>981.579.572-49</t>
  </si>
  <si>
    <t>1.351626285</t>
  </si>
  <si>
    <t>00020126740014br.gov.bcb.pix013686b26441-94eb-4523-9e8a-79120d007b940212000054801855520400005303986540520.295802BR5907TIM S A6009SAO PAULO62290525R36000054801855110609482963040CE1</t>
  </si>
  <si>
    <t>741.338.022-68</t>
  </si>
  <si>
    <t>1.351495893</t>
  </si>
  <si>
    <t>00020126740014br.gov.bcb.pix013686b26441-94eb-4523-9e8a-79120d007b940212000059239706520400005303986540520.925802BR5907TIM S A6009SAO PAULO62290525R05000059239706160612012263045D9A</t>
  </si>
  <si>
    <t>1.354801863</t>
  </si>
  <si>
    <t>017.424.022-83</t>
  </si>
  <si>
    <t>1.352836540</t>
  </si>
  <si>
    <t>00020126740014br.gov.bcb.pix013686b26441-94eb-4523-9e8a-79120d007b940212000059238219520400005303986540522.715802BR5907TIM S A6009SAO PAULO62290525R0500005923821916061109266304C09B</t>
  </si>
  <si>
    <t>031.734.392-01</t>
  </si>
  <si>
    <t>1.353539202</t>
  </si>
  <si>
    <t>MIKA  SMB</t>
  </si>
  <si>
    <t>00020126740014br.gov.bcb.pix013686b26441-94eb-4523-9e8a-79120d007b940212000059168113520400005303986540525.005802BR5907TIM S A6009SAO PAULO62290525R0500005916811311061656126304AA70</t>
  </si>
  <si>
    <t>026.784.472-78</t>
  </si>
  <si>
    <t>1.353097923</t>
  </si>
  <si>
    <t>00020126740014br.gov.bcb.pix013686b26441-94eb-4523-9e8a-79120d007b940212000054802437520400005303986540547.045802BR5907TIM S A6009SAO PAULO62290525R3600005480243712060956496304264E</t>
  </si>
  <si>
    <t>799.026.182-00</t>
  </si>
  <si>
    <t>1.354318028</t>
  </si>
  <si>
    <t>00020126740014br.gov.bcb.pix013686b26441-94eb-4523-9e8a-79120d007b940212000059185035520400005303986540532.965802BR5907TIM S A6009SAO PAULO62290525R050000591850351206134131630497FD</t>
  </si>
  <si>
    <t>441.488.102-10</t>
  </si>
  <si>
    <t>1.353782531</t>
  </si>
  <si>
    <t>00020126740014br.gov.bcb.pix013686b26441-94eb-4523-9e8a-79120d007b940212000059239972520400005303986540552.765802BR5907TIM S A6009SAO PAULO62290525R050000592399721606121043630421A</t>
  </si>
  <si>
    <t>444.331.232-34</t>
  </si>
  <si>
    <t>1.351289287</t>
  </si>
  <si>
    <t>00020126740014br.gov.bcb.pix013686b26441-94eb-4523-9e8a-79120d007b940212000059169046520400005303986540525.005802BR5907TIM S A6009SAO PAULO62290525R050000591690461106173005630425CB</t>
  </si>
  <si>
    <t>017.709.282-35</t>
  </si>
  <si>
    <t>1.354020549</t>
  </si>
  <si>
    <t>Enviado no grupo</t>
  </si>
  <si>
    <t>Não</t>
  </si>
  <si>
    <t>475.912.002-59</t>
  </si>
  <si>
    <t>1.354450169</t>
  </si>
  <si>
    <t>272.834.022-68</t>
  </si>
  <si>
    <t>1.353782512</t>
  </si>
  <si>
    <t xml:space="preserve"> 00020126740014br.gov.bcb.pix013686b26441-94eb-4523-9e8a-79120d007b940212000059237965520400005303986540544.675802BR5907TIM S A6009SAO PAULO62290525R050000592379651606110044630486D2</t>
  </si>
  <si>
    <t>515.023.052-91</t>
  </si>
  <si>
    <t>1.353073113</t>
  </si>
  <si>
    <t>00020126740014br.gov.bcb.pix013686b26441-94eb-4523-9e8a-79120d007b940212000059162354520400005303986540534.635802BR5907TIM S A6009SAO PAULO62290525R0500005916235411061200506304C35A</t>
  </si>
  <si>
    <t>020.887.472-06</t>
  </si>
  <si>
    <t>1.354432646</t>
  </si>
  <si>
    <t>028.647.972-91</t>
  </si>
  <si>
    <t>1.354085455</t>
  </si>
  <si>
    <t>00020126740014br.gov.bcb.pix013686b26441-94eb-4523-9e8a-79120d007b940212000059499290520400005303986540519.375802BR5907TIM S A6009SAO PAULO62290525R05000059499290020712325563046356</t>
  </si>
  <si>
    <t>826.586.335-72</t>
  </si>
  <si>
    <t>1.353823904</t>
  </si>
  <si>
    <t>00020126740014br.gov.bcb.pix013686b26441-94eb-4523-9e8a-79120d007b940212000059405413520400005303986540520.255802BR5907TIM S A6009SAO PAULO62290525R050000594054132606142805630472DE</t>
  </si>
  <si>
    <t>012.270.905-52</t>
  </si>
  <si>
    <t>1.353265259</t>
  </si>
  <si>
    <t>00020126740014br.gov.bcb.pix013686b26441-94eb-4523-9e8a-79120d007b940212000059242537520400005303986540545.025802BR5907TIM S A6009SAO PAULO62290525R05000059242537160614081363046611</t>
  </si>
  <si>
    <t>563.900.505-00</t>
  </si>
  <si>
    <t>1.354768371</t>
  </si>
  <si>
    <t>657.208.735-20</t>
  </si>
  <si>
    <t>1.351704947</t>
  </si>
  <si>
    <t>00020126740014br.gov.bcb.pix013686b26441-94eb-4523-9e8a-79120d007b940212000059499355520400005303986540523.275802BR5907TIM S A6009SAO PAULO62290525R050000594993550207123617630480A4</t>
  </si>
  <si>
    <t>076.316.435-63</t>
  </si>
  <si>
    <t>1.351494553</t>
  </si>
  <si>
    <t>00020126740014br.gov.bcb.pix013686b26441-94eb-4523-9e8a-79120d007b940212000059185666520400005303986540545.775802BR5907TIM S A6009SAO PAULO62290525R0500005918566612061407246304B7A4</t>
  </si>
  <si>
    <t>883.600.835-68</t>
  </si>
  <si>
    <t>1.351465352</t>
  </si>
  <si>
    <t>00020126740014br.gov.bcb.pix013686b26441-94eb-4523-9e8a-79120d007b940212000054802079520400005303986540531.875802BR5907TIM S A6009SAO PAULO62290525R3600005480207911061402426304EA1D</t>
  </si>
  <si>
    <t>860.009.945-59</t>
  </si>
  <si>
    <t>1.354610374</t>
  </si>
  <si>
    <t>247.009.755-04</t>
  </si>
  <si>
    <t>1.351835344</t>
  </si>
  <si>
    <t>00020126740014br.gov.bcb.pix013686b26441-94eb-4523-9e8a-79120d007b940212000054802090520400005303986540530.005802BR5907TIM S A6009SAO PAULO62290525R36000054802090110614203363040B31</t>
  </si>
  <si>
    <t>700.178.405-20</t>
  </si>
  <si>
    <t>1.351305066</t>
  </si>
  <si>
    <t>00020126740014br.gov.bcb.pix013686b26441-94eb-4523-9e8a-79120d007b940212000054801925520400005303986540526.145802BR5907TIM S A6009SAO PAULO62290525R36000054801925110611191563048174</t>
  </si>
  <si>
    <t>042.646.825-25</t>
  </si>
  <si>
    <t>1.351848895</t>
  </si>
  <si>
    <t>00020126740014br.gov.bcb.pix013686b26441-94eb-4523-9e8a-79120d007b940212000059499370520400005303986540520.915802BR5907TIM S A6009SAO PAULO62290525R050000594993700207123710630496E5</t>
  </si>
  <si>
    <t>549.092.443-87</t>
  </si>
  <si>
    <t>1.353550051</t>
  </si>
  <si>
    <t>00020126740014br.gov.bcb.pix013686b26441-94eb-4523-9e8a-79120d007b940212000059278684520400005303986540530.005802BR5907TIM S A6009SAO PAULO62290525R05000059278684180615245063044848</t>
  </si>
  <si>
    <t>742.469.843-53</t>
  </si>
  <si>
    <t>1.353725365</t>
  </si>
  <si>
    <t>00020126740014br.gov.bcb.pix013686b26441-94eb-4523-9e8a-79120d007b940212000059237847520400005303986540544.745802BR5907TIM S A6009SAO PAULO62290525R05000059237847160610563163042DF6</t>
  </si>
  <si>
    <t>388.815.513-49</t>
  </si>
  <si>
    <t>1.353429652</t>
  </si>
  <si>
    <t>00020126740014br.gov.bcb.pix013686b26441-94eb-4523-9e8a-79120d007b940212000059293315520400005303986540545.165802BR5907TIM S A6009SAO PAULO62290525R050000592933151906111601630431FD</t>
  </si>
  <si>
    <t>011.253.396-59</t>
  </si>
  <si>
    <t>1.353429606</t>
  </si>
  <si>
    <t>00020126740014br.gov.bcb.pix013686b26441-94eb-4523-9e8a-79120d007b940212000059163699520400005303986540544.905802BR5907TIM S A6009SAO PAULO62290525R05000059163699110613362463041790</t>
  </si>
  <si>
    <t>372.885.708-43</t>
  </si>
  <si>
    <t>1.354804326</t>
  </si>
  <si>
    <t>092.003.466-77</t>
  </si>
  <si>
    <t>1.352999896</t>
  </si>
  <si>
    <t>00020126740014br.gov.bcb.pix013686b26441-94eb-4523-9e8a-79120d007b940212000059239138520400005303986540545.295802BR5907TIM S A6009SAO PAULO62290525R050000592391381606141056630442DC</t>
  </si>
  <si>
    <t>41.542.950/0001-25</t>
  </si>
  <si>
    <t>1.352579207</t>
  </si>
  <si>
    <t>00020126740014br.gov.bcb.pix013686b26441-94eb-4523-9e8a-79120d007b940212000054801878520400005303986540582.455802BR5907TIM S A6009SAO PAULO62290525R360000548018781106101138630410B0</t>
  </si>
  <si>
    <t>077.379.166-36</t>
  </si>
  <si>
    <t>1.351819014</t>
  </si>
  <si>
    <t>00020126740014br.gov.bcb.pix013686b26441-94eb-4523-9e8a-79120d007b940212000059271629520400005303986540545.895802BR5907TIM S A6009SAO PAULO62290525R0500005927162918060958436304039E</t>
  </si>
  <si>
    <t>122.707.936-25</t>
  </si>
  <si>
    <t>1.351772631</t>
  </si>
  <si>
    <t>00020126740014br.gov.bcb.pix013686b26441-94eb-4523-9e8a-79120d007b940212000054801849520400005303986540528.695802BR5907TIM S A6009SAO PAULO62290525R36000054801849110609444663043BD0</t>
  </si>
  <si>
    <t>687.005.476-20</t>
  </si>
  <si>
    <t>1.354662345</t>
  </si>
  <si>
    <t>087.155.665-01</t>
  </si>
  <si>
    <t>1.354596909</t>
  </si>
  <si>
    <t>106.058.056-01</t>
  </si>
  <si>
    <t>1.354285407</t>
  </si>
  <si>
    <t>00020126740014br.gov.bcb.pix013686b26441-94eb-4523-9e8a-79120d007b940212000059214279520400005303986540532.975802BR5907TIM S A6009SAO PAULO62290525R0500005921427915061107036304F769</t>
  </si>
  <si>
    <t>119.258.136-90</t>
  </si>
  <si>
    <t>1.354791290</t>
  </si>
  <si>
    <t>081.359.176-78</t>
  </si>
  <si>
    <t>1.353454117</t>
  </si>
  <si>
    <t>597.991.536-20</t>
  </si>
  <si>
    <t>1.353603506</t>
  </si>
  <si>
    <t>00020126740014br.gov.bcb.pix013686b26441-94eb-4523-9e8a-79120d007b940212000059210042520400005303986540525.005802BR5907TIM S A6009SAO PAULO62290525R05000059210042150609005463041DBD</t>
  </si>
  <si>
    <t>015.203.336-09</t>
  </si>
  <si>
    <t>1.353045840</t>
  </si>
  <si>
    <t>00020126740014br.gov.bcb.pix013686b26441-94eb-4523-9e8a-79120d007b940212000054801977520400005303986540559.625802BR5907TIM S A6009SAO PAULO62290525R36000054801977110612171463045B3B</t>
  </si>
  <si>
    <t>097.217.346-32</t>
  </si>
  <si>
    <t>1.352016709</t>
  </si>
  <si>
    <t>00020126740014br.gov.bcb.pix013686b26441-94eb-4523-9e8a-79120d007b940212000054802095520400005303986540576.945802BR5907TIM S A6009SAO PAULO62290525R3600005480209511061433356304CE27</t>
  </si>
  <si>
    <t>851.359.416-49</t>
  </si>
  <si>
    <t>1.351936192</t>
  </si>
  <si>
    <t xml:space="preserve">00020126740014br.gov.bcb.pix013686b26441-94eb-4523-9e8a-79120d007b940212000054801945520400005303986540560.605802BR5907TIM S A6009SAO PAULO62290525R36000054801945110611463463041898
</t>
  </si>
  <si>
    <t>385.056.588-25</t>
  </si>
  <si>
    <t>1.352945331</t>
  </si>
  <si>
    <t>00020126740014br.gov.bcb.pix013686b26441-94eb-4523-9e8a-79120d007b940212000059185451520400005303986540544.665802BR5907TIM S A6009SAO PAULO62290525R050000591854511206135832630488F5</t>
  </si>
  <si>
    <t>039.940.396-57</t>
  </si>
  <si>
    <t>1.354808333</t>
  </si>
  <si>
    <t>134.357.646-60</t>
  </si>
  <si>
    <t>1.353874401</t>
  </si>
  <si>
    <t xml:space="preserve">00020126740014br.gov.bcb.pix013686b26441-94eb-4523-9e8a-79120d007b940212000059259975520400005303986540543.225802BR5907TIM S A6009SAO PAULO62290525R05000059259975170614275463043313
</t>
  </si>
  <si>
    <t>049.974.576-04</t>
  </si>
  <si>
    <t>1.351301143</t>
  </si>
  <si>
    <t>00020126740014br.gov.bcb.pix013686b26441-94eb-4523-9e8a-79120d007b940212000059258379520400005303986540540.615802BR5907TIM S A6009SAO PAULO62290525R05000059258379170612181163041725</t>
  </si>
  <si>
    <t>587.784.626-49</t>
  </si>
  <si>
    <t>1.353550569</t>
  </si>
  <si>
    <t>00020126740014br.gov.bcb.pix013686b26441-94eb-4523-9e8a-79120d007b940212000059259606520400005303986540524.335802BR5907TIM S A6009SAO PAULO62290525R05000059259606170614221863043A6B</t>
  </si>
  <si>
    <t>750.867.946-68</t>
  </si>
  <si>
    <t>1.352747447</t>
  </si>
  <si>
    <t>00020126740014br.gov.bcb.pix013686b26441-94eb-4523-9e8a-79120d007b940212000054804347520400005303986540544.445802BR5907TIM S A6009SAO PAULO62290525R3600005480434717061034136304DD4E</t>
  </si>
  <si>
    <t>041.486.026-85</t>
  </si>
  <si>
    <t>1.354211698</t>
  </si>
  <si>
    <t>018.514.366-00</t>
  </si>
  <si>
    <t>1.351307790</t>
  </si>
  <si>
    <t>00020126740014br.gov.bcb.pix013686b26441-94eb-4523-9e8a-79120d007b940212000054801988520400005303986540535.035802BR5907TIM S A6009SAO PAULO62290525R360000548019881106122749630465FA</t>
  </si>
  <si>
    <t>077.597.376-96</t>
  </si>
  <si>
    <t>1.351611758</t>
  </si>
  <si>
    <t>00020126740014br.gov.bcb.pix013686b26441-94eb-4523-9e8a-79120d007b940212000059161759520400005303986540568.245802BR5907TIM S A6009SAO PAULO62290525R05000059161759110611370563046765</t>
  </si>
  <si>
    <t>092.023.326-06</t>
  </si>
  <si>
    <t>1.351223557</t>
  </si>
  <si>
    <t>00020126740014br.gov.bcb.pix013686b26441-94eb-4523-9e8a-79120d007b940212000054802008520400005303986540559.445802BR5907TIM S A6009SAO PAULO62290525R36000054802008110612453363043BC4</t>
  </si>
  <si>
    <t>703.622.836-99</t>
  </si>
  <si>
    <t>1.353684905</t>
  </si>
  <si>
    <t xml:space="preserve"> 22/06/2026</t>
  </si>
  <si>
    <t>00020126740014br.gov.bcb.pix013686b26441-94eb-4523-9e8a-79120d007b940212000059261239520400005303986540522.595802BR5907TIM S A6009SAO PAULO62290525R05000059261239170614503063046A07</t>
  </si>
  <si>
    <t>113.214.666-68</t>
  </si>
  <si>
    <t>1.352544003</t>
  </si>
  <si>
    <t xml:space="preserve">00020126740014br.gov.bcb.pix013686b26441-94eb-4523-9e8a-79120d007b940212000059185975520400005303986540541.035802BR5907TIM S A6009SAO PAULO62290525R050000591859751206142116630403ED
</t>
  </si>
  <si>
    <t>083.371.496-12</t>
  </si>
  <si>
    <t>1.354400320</t>
  </si>
  <si>
    <t>133.675.456-78</t>
  </si>
  <si>
    <t>1.354401477</t>
  </si>
  <si>
    <t>163.317.696-76</t>
  </si>
  <si>
    <t>1.351697306</t>
  </si>
  <si>
    <t>00020126740014br.gov.bcb.pix013686b26441-94eb-4523-9e8a-79120d007b940212000059177467520400005303986540535.005802BR5907TIM S A6009SAO PAULO62290525R0500005917746712060823026304636C</t>
  </si>
  <si>
    <t>045.230.206-47</t>
  </si>
  <si>
    <t>1.351971191</t>
  </si>
  <si>
    <t>00020126740014br.gov.bcb.pix013686b26441-94eb-4523-9e8a-79120d007b940212000054802063520400005303986540537.205802BR5907TIM S A6009SAO PAULO62290525R3600005480206311061351586304B459</t>
  </si>
  <si>
    <t>000.169.366-20</t>
  </si>
  <si>
    <t>1.351505860</t>
  </si>
  <si>
    <t>00020126740014br.gov.bcb.pix013686b26441-94eb-4523-9e8a-79120d007b940212000059183928520400005303986540534.075802BR5907TIM S A6009SAO PAULO62290525R0500005918392812061218476304E38D</t>
  </si>
  <si>
    <t>902.529.426-04</t>
  </si>
  <si>
    <t>1.354581174</t>
  </si>
  <si>
    <t>121.001.036-44</t>
  </si>
  <si>
    <t>1.352000861</t>
  </si>
  <si>
    <t>00020126740014br.gov.bcb.pix013686b26441-94eb-4523-9e8a-79120d007b940212000054801902520400005303986540557.455802BR5907TIM S A6009SAO PAULO62290525R3600005480190211061038526304CF06</t>
  </si>
  <si>
    <t>030.962.266-28</t>
  </si>
  <si>
    <t>1.354333162</t>
  </si>
  <si>
    <t>00020126740014br.gov.bcb.pix013686b26441-94eb-4523-9e8a-79120d007b940212000059261029520400005303986540515.395802BR5907TIM S A6009SAO PAULO62290525R05000059261029170614421563041084</t>
  </si>
  <si>
    <t>152.966.496-99</t>
  </si>
  <si>
    <t>1.351548767</t>
  </si>
  <si>
    <t>00020126740014br.gov.bcb.pix013686b26441-94eb-4523-9e8a-79120d007b940212000054801886520400005303986540546.915802BR5907TIM S A6009SAO PAULO62290525R3600005480188611061020086304BAE0</t>
  </si>
  <si>
    <t>017.316.427-76</t>
  </si>
  <si>
    <t>1.354752472</t>
  </si>
  <si>
    <t>098.773.886-00</t>
  </si>
  <si>
    <t>1.352533645</t>
  </si>
  <si>
    <t>00020126740014br.gov.bcb.pix013686b26441-94eb-4523-9e8a-79120d007b940212000059183115520400005303986540530.005802BR5907TIM S A6009SAO PAULO62290525R050000591831151206114933630457B6</t>
  </si>
  <si>
    <t>026.293.046-39</t>
  </si>
  <si>
    <t>1.352073721</t>
  </si>
  <si>
    <t>00020126740014br.gov.bcb.pix013686b26441-94eb-4523-9e8a-79120d007b940212000059261900520400005303986540553.445802BR5907TIM S A6009SAO PAULO62290525R050000592619001706152142630463AC</t>
  </si>
  <si>
    <t>076.927.286-07</t>
  </si>
  <si>
    <t>1.351781118</t>
  </si>
  <si>
    <t>00020126740014br.gov.bcb.pix013686b26441-94eb-4523-9e8a-79120d007b940212000054804568520400005303986540551.665802BR5907TIM S A6009SAO PAULO62290525R3600005480456817061507496304F1E1</t>
  </si>
  <si>
    <t>134.221.116-20</t>
  </si>
  <si>
    <t>1.353167297</t>
  </si>
  <si>
    <t>00020126740014br.gov.bcb.pix013686b26441-94eb-4523-9e8a-79120d007b940212000059185811520400005303986540545.075802BR5907TIM S A6009SAO PAULO62290525R05000059185811120614141063040FBE</t>
  </si>
  <si>
    <t>047.999.746-29</t>
  </si>
  <si>
    <t>1.351928569</t>
  </si>
  <si>
    <t>00020126740014br.gov.bcb.pix013686b26441-94eb-4523-9e8a-79120d007b940212000054802094520400005303986540550.005802BR5907TIM S A6009SAO PAULO62290525R3600005480209411061428436304B84B</t>
  </si>
  <si>
    <t>1.353548824</t>
  </si>
  <si>
    <t>140.569.576-57</t>
  </si>
  <si>
    <t>1.352978756</t>
  </si>
  <si>
    <t>00020126740014br.gov.bcb.pix013686b26441-94eb-4523-9e8a-79120d007b940212000059262308520400005303986540549.375802BR5907TIM S A6009SAO PAULO62290525R0500005926230817061540246304FE30</t>
  </si>
  <si>
    <t>092.539.656-73</t>
  </si>
  <si>
    <t>1.351698009</t>
  </si>
  <si>
    <t>844.387.546-15</t>
  </si>
  <si>
    <t>1.353233356</t>
  </si>
  <si>
    <t xml:space="preserve"> 00020126740014br.gov.bcb.pix013686b26441-94eb-4523-9e8a-79120d007b940212000059244949520400005303986540553.375802BR5907TIM S A6009SAO PAULO62290525R050000592449491606154635630464C6</t>
  </si>
  <si>
    <t>266.026.604-20</t>
  </si>
  <si>
    <t>1.353884721</t>
  </si>
  <si>
    <t>00020126740014br.gov.bcb.pix013686b26441-94eb-4523-9e8a-79120d007b940212000059298498520400005303986540540.005802BR5907TIM S A6009SAO PAULO62290525R0500005929849819061443166304C865</t>
  </si>
  <si>
    <t>712.849.974-13</t>
  </si>
  <si>
    <t>1.353533387</t>
  </si>
  <si>
    <t>00020126740014br.gov.bcb.pix013686b26441-94eb-4523-9e8a-79120d007b940212000059278244520400005303986540530.005802BR5907TIM S A6009SAO PAULO62290525R0500005927824418061515496304FE20</t>
  </si>
  <si>
    <t>312.862.084-91</t>
  </si>
  <si>
    <t>1.352088458</t>
  </si>
  <si>
    <t>00020126740014br.gov.bcb.pix013686b26441-94eb-4523-9e8a-79120d007b940212000059272777520400005303986540541.565802BR5907TIM S A6009SAO PAULO62290525R05000059272777180610494263043248</t>
  </si>
  <si>
    <t>271.226.894-68</t>
  </si>
  <si>
    <t>1.354836776</t>
  </si>
  <si>
    <t>084.671.843-02</t>
  </si>
  <si>
    <t>1.354248292</t>
  </si>
  <si>
    <t>00020126740014br.gov.bcb.pix013686b26441-94eb-4523-9e8a-79120d007b940212000059273868520400005303986540535.525802BR5907TIM S A6009SAO PAULO62290525R050000592738681806113904630490F4</t>
  </si>
  <si>
    <t>473.943.233-15</t>
  </si>
  <si>
    <t>1.353718494</t>
  </si>
  <si>
    <t>00020126740014br.gov.bcb.pix013686b26441-94eb-4523-9e8a-79120d007b940212000059289903520400005303986540541.055802BR5907TIM S A6009SAO PAULO62290525R0500005928990319060857546304E3FF</t>
  </si>
  <si>
    <t>014.555.913-00</t>
  </si>
  <si>
    <t>1.354597702</t>
  </si>
  <si>
    <t>317.173.813-91</t>
  </si>
  <si>
    <t>1.354417019</t>
  </si>
  <si>
    <t>884.080.273-87</t>
  </si>
  <si>
    <t>1.352175678</t>
  </si>
  <si>
    <t>00020126740014br.gov.bcb.pix013686b26441-94eb-4523-9e8a-79120d007b940212000054805538520400005303986540539.795802BR5907TIM S A6009SAO PAULO62290525R3600005480553819061218206304B7FF</t>
  </si>
  <si>
    <t>042.772.653-08</t>
  </si>
  <si>
    <t>1.352061896</t>
  </si>
  <si>
    <t>00020126740014br.gov.bcb.pix013686b26441-94eb-4523-9e8a-79120d007b940212000054804981520400005303986540551.195802BR5907TIM S A6009SAO PAULO62290525R3600005480498118061203196304A4DA</t>
  </si>
  <si>
    <t>241.091.003-30</t>
  </si>
  <si>
    <t>1.352066850</t>
  </si>
  <si>
    <t>00020126740014br.gov.bcb.pix013686b26441-94eb-4523-9e8a-79120d007b940212000054805195520400005303986540563.125802BR5907TIM S A6009SAO PAULO62290525R36000054805195180617345863040AEF</t>
  </si>
  <si>
    <t>051.605.993-98</t>
  </si>
  <si>
    <t>1.352696489</t>
  </si>
  <si>
    <t>00020126740014br.gov.bcb.pix013686b26441-94eb-4523-9e8a-79120d007b940212000059276457520400005303986540540.805802BR5907TIM S A6009SAO PAULO62290525R05000059276457180614035863047620</t>
  </si>
  <si>
    <t>066.104.643-59</t>
  </si>
  <si>
    <t>1.353542375</t>
  </si>
  <si>
    <t>00020126740014br.gov.bcb.pix013686b26441-94eb-4523-9e8a-79120d007b940212000059297978520400005303986540541.055802BR5907TIM S A6009SAO PAULO62290525R050000592979781906141824630446BC</t>
  </si>
  <si>
    <t>481.755.013-91</t>
  </si>
  <si>
    <t>1.354202412</t>
  </si>
  <si>
    <t>KHETYLLEN</t>
  </si>
  <si>
    <t>00020126740014br.gov.bcb.pix013686b26441-94eb-4523-9e8a-79120d007b940212000059218511520400005303986540511.315802BR5907TIM S A6009SAO PAULO62290525R05000059218511150613472663044745</t>
  </si>
  <si>
    <t>713.720.334-59</t>
  </si>
  <si>
    <t>1.354666186</t>
  </si>
  <si>
    <t>066.225.844-43</t>
  </si>
  <si>
    <t>1.353641452</t>
  </si>
  <si>
    <t>00020126740014br.gov.bcb.pix013686b26441-94eb-4523-9e8a-79120d007b940212000059299981520400005303986540520.585802BR5907TIM S A6009SAO PAULO62290525R050000592999811906155241630449CB</t>
  </si>
  <si>
    <t>756.685.646-49</t>
  </si>
  <si>
    <t>1.351547419</t>
  </si>
  <si>
    <t>00020126740014br.gov.bcb.pix013686b26441-94eb-4523-9e8a-79120d007b940212000054801584520400005303986540550.095802BR5907TIM S A6009SAO PAULO62290525R3600005480158410061609086304B4CF</t>
  </si>
  <si>
    <t>114.434.856-08</t>
  </si>
  <si>
    <t>1.351290315</t>
  </si>
  <si>
    <t>072.070.144-90</t>
  </si>
  <si>
    <t>1.351321123</t>
  </si>
  <si>
    <t>030.048.104-76</t>
  </si>
  <si>
    <t>1.351549319</t>
  </si>
  <si>
    <t>08239838000144</t>
  </si>
  <si>
    <t>7.2199486</t>
  </si>
  <si>
    <t>00020126740014br.gov.bcb.pix013686b26441-94eb-4523-9e8a-79120d007b940212000059165533520400005303986540519.495802BR5907TIM S A6009SAO PAULO62290525R05000059165533110614585163040BD7</t>
  </si>
  <si>
    <t>02573518000140</t>
  </si>
  <si>
    <t>7.2197411</t>
  </si>
  <si>
    <t>27662182000112</t>
  </si>
  <si>
    <t>7.2197760.10</t>
  </si>
  <si>
    <t>00020126740014br.gov.bcb.pix013686b26441-94eb-4523-9e8a-79120d007b940212000059166231520400005303986540517.145802BR5907TIM S A6009SAO PAULO62290525R050000591662311106153159630458F9</t>
  </si>
  <si>
    <t>63139647000119</t>
  </si>
  <si>
    <t>7.2197229</t>
  </si>
  <si>
    <t>00020126740014br.gov.bcb.pix013686b26441-94eb-4523-9e8a-79120d007b940212000059166243520400005303986540514.955802BR5907TIM S A6009SAO PAULO62290525R0500005916624311061533116304F208</t>
  </si>
  <si>
    <t>59630169000178</t>
  </si>
  <si>
    <t>7.2194761</t>
  </si>
  <si>
    <t>00020126740014br.gov.bcb.pix013686b26441-94eb-4523-9e8a-79120d007b94021200005916626352040000530398654049.035802BR5907TIM S A6009SAO PAULO62290525R0500005916626311061534176304FCC9</t>
  </si>
  <si>
    <t>33881325000180</t>
  </si>
  <si>
    <t>7.2191930.10</t>
  </si>
  <si>
    <t>00020126740014br.gov.bcb.pix013686b26441-94eb-4523-9e8a-79120d007b940212000059166281520400005303986540514.845802BR5907TIM S A6009SAO PAULO62290525R05000059166281110615354163040EA7</t>
  </si>
  <si>
    <t>55443209000111</t>
  </si>
  <si>
    <t>7.2188525</t>
  </si>
  <si>
    <t>00020126740014br.gov.bcb.pix013686b26441-94eb-4523-9e8a-79120d007b940212000059166333520400005303986540514.735802BR5907TIM S A6009SAO PAULO62290525R0500005916633311061537336304CA8E</t>
  </si>
  <si>
    <t>36614615000155</t>
  </si>
  <si>
    <t>7.2184875</t>
  </si>
  <si>
    <t>00020126740014br.gov.bcb.pix013686b26441-94eb-4523-9e8a-79120d007b9402120000548021385204000053039865406253.875802BR5907TIM S A6009SAO PAULO62290525R3600005480213811061539206304F497</t>
  </si>
  <si>
    <t>45414772000108</t>
  </si>
  <si>
    <t>7.2180954</t>
  </si>
  <si>
    <t>20052685000127</t>
  </si>
  <si>
    <t>7.2192558</t>
  </si>
  <si>
    <t>00020126740014br.gov.bcb.pix013686b26441-94eb-4523-9e8a-79120d007b940212000054803178520400005303986540541.085802BR5907TIM S A6009SAO PAULO62290525R36000054803178150609310463044DDA</t>
  </si>
  <si>
    <t>54926115000130</t>
  </si>
  <si>
    <t>7.2192251.10</t>
  </si>
  <si>
    <t>00020126740014br.gov.bcb.pix013686b26441-94eb-4523-9e8a-79120d007b940212000059211111520400005303986540526.585802BR5907TIM S A6009SAO PAULO62290525R0500005921111115060932476304F2B4</t>
  </si>
  <si>
    <t>31868430000153</t>
  </si>
  <si>
    <t>7.2189566</t>
  </si>
  <si>
    <t>00020126740014br.gov.bcb.pix013686b26441-94eb-4523-9e8a-79120d007b940212000059211163520400005303986540520.585802BR5907TIM S A6009SAO PAULO62290525R05000059211163150609335963048CA7</t>
  </si>
  <si>
    <t>09035309000191</t>
  </si>
  <si>
    <t>7.2184337</t>
  </si>
  <si>
    <t>00020126740014br.gov.bcb.pix013686b26441-94eb-4523-9e8a-79120d007b9402120000592112135204000053039865406135.695802BR5907TIM S A6009SAO PAULO62290525R0500005921121315060935076304F1C8</t>
  </si>
  <si>
    <t>22535216000194</t>
  </si>
  <si>
    <t>7.2184249</t>
  </si>
  <si>
    <t>00020126740014br.gov.bcb.pix013686b26441-94eb-4523-9e8a-79120d007b940212000054803183520400005303986540548.815802BR5907TIM S A6009SAO PAULO62290525R36000054803183150609370863043470</t>
  </si>
  <si>
    <t>33674880000130</t>
  </si>
  <si>
    <t>7.2183146.10</t>
  </si>
  <si>
    <t>00020126740014br.gov.bcb.pix013686b26441-94eb-4523-9e8a-79120d007b940212000059211316520400005303986540544.285802BR5907TIM S A6009SAO PAULO62290525R050000592113161506093810630451AB</t>
  </si>
  <si>
    <t>21050293000191</t>
  </si>
  <si>
    <t>7.2178048.10</t>
  </si>
  <si>
    <t>00020126740014br.gov.bcb.pix013686b26441-94eb-4523-9e8a-79120d007b940212000059211345520400005303986540547.255802BR5907TIM S A6009SAO PAULO62290525R0500005921134515060939116304F94C</t>
  </si>
  <si>
    <t>61488530000115</t>
  </si>
  <si>
    <t>7.2175134</t>
  </si>
  <si>
    <t>00020126740014br.gov.bcb.pix013686b26441-94eb-4523-9e8a-79120d007b940212000059211375520400005303986540565.255802BR5907TIM S A6009SAO PAULO62290525R050000592113751506094017630400A3</t>
  </si>
  <si>
    <t>24554940000190</t>
  </si>
  <si>
    <t>7.2168427</t>
  </si>
  <si>
    <t>00020126740014br.gov.bcb.pix013686b26441-94eb-4523-9e8a-79120d007b9402120000548031875204000053039865406131.465802BR5907TIM S A6009SAO PAULO62290525R3600005480318715060941256304EAFB</t>
  </si>
  <si>
    <t>48988170000152</t>
  </si>
  <si>
    <t>7.2170583.10</t>
  </si>
  <si>
    <t>00020126740014br.gov.bcb.pix013686b26441-94eb-4523-9e8a-79120d007b940212000054803188520400005303986540556.025802BR5907TIM S A6009SAO PAULO62290525R360000548031881506094357630495AD</t>
  </si>
  <si>
    <t>789.426.673-68</t>
  </si>
  <si>
    <t>1.353701716</t>
  </si>
  <si>
    <t>00020126740014br.gov.bcb.pix013686b26441-94eb-4523-9e8a-79120d007b940212000059212542520400005303986540538.415802BR5907TIM S A6009SAO PAULO62290525R05000059212542150610151063043BE9</t>
  </si>
  <si>
    <t>30413154000176</t>
  </si>
  <si>
    <t>7.2198954</t>
  </si>
  <si>
    <t>00020126740014br.gov.bcb.pix013686b26441-94eb-4523-9e8a-79120d007b940212000059247191520400005303986540534.645802BR5907TIM S A6009SAO PAULO62290525R0500005924719116061733346304EA03</t>
  </si>
  <si>
    <t>41403610000113</t>
  </si>
  <si>
    <t>7.2173006.10</t>
  </si>
  <si>
    <t>00020126740014br.gov.bcb.pix013686b26441-94eb-4523-9e8a-79120d007b940212000059247209520400005303986540512.345802BR5907TIM S A6009SAO PAULO62290525R05000059247209160617344863040204</t>
  </si>
  <si>
    <t>55887197000114</t>
  </si>
  <si>
    <t>7.2192037.10</t>
  </si>
  <si>
    <t>00020126740014br.gov.bcb.pix013686b26441-94eb-4523-9e8a-79120d007b940212000059247232520400005303986540514.845802BR5907TIM S A6009SAO PAULO62290525R0500005924723216061735566304E0CB</t>
  </si>
  <si>
    <t>60996093000188</t>
  </si>
  <si>
    <t>7.2190282.10</t>
  </si>
  <si>
    <t>00020126740014br.gov.bcb.pix013686b26441-94eb-4523-9e8a-79120d007b940212000059247257520400005303986540517.955802BR5907TIM S A6009SAO PAULO62290525R0500005924725716061736526304EE62</t>
  </si>
  <si>
    <t>32395151000182</t>
  </si>
  <si>
    <t>7.2189430.10</t>
  </si>
  <si>
    <t>00020126740014br.gov.bcb.pix013686b26441-94eb-4523-9e8a-79120d007b940212000054804122520400005303986540528.105802BR5907TIM S A6009SAO PAULO62290525R3600005480412216061737576304180E</t>
  </si>
  <si>
    <t>57313862000191</t>
  </si>
  <si>
    <t>7.2194200</t>
  </si>
  <si>
    <t>00020126740014br.gov.bcb.pix013686b26441-94eb-4523-9e8a-79120d007b940212000059247301520400005303986540514.655802BR5907TIM S A6009SAO PAULO62290525R050000592473011606173937630457ED</t>
  </si>
  <si>
    <t>46194386000110</t>
  </si>
  <si>
    <t>7.2173932.10</t>
  </si>
  <si>
    <t>00020126740014br.gov.bcb.pix013686b26441-94eb-4523-9e8a-79120d007b940212000059247305520400005303986540515.405802BR5907TIM S A6009SAO PAULO62290525R0500005924730516061740346304EB56</t>
  </si>
  <si>
    <t>53072086000124</t>
  </si>
  <si>
    <t>7.2172981</t>
  </si>
  <si>
    <t>00020126740014br.gov.bcb.pix013686b26441-94eb-4523-9e8a-79120d007b940212000054804126520400005303986540536.165802BR5907TIM S A6009SAO PAULO62290525R36000054804126160617414463044FBE</t>
  </si>
  <si>
    <t>53820207000179</t>
  </si>
  <si>
    <t>7.2173713.10</t>
  </si>
  <si>
    <t>00020126740014br.gov.bcb.pix013686b26441-94eb-4523-9e8a-79120d007b940212000059247342520400005303986540523.895802BR5907TIM S A6009SAO PAULO62290525R0500005924734216061742456304A447</t>
  </si>
  <si>
    <t>47267259000167</t>
  </si>
  <si>
    <t>7.2172525.10</t>
  </si>
  <si>
    <t>00020126740014br.gov.bcb.pix013686b26441-94eb-4523-9e8a-79120d007b940212000059247365520400005303986540523.835802BR5907TIM S A6009SAO PAULO62290525R0500005924736516061744046304471F</t>
  </si>
  <si>
    <t>48057966000191</t>
  </si>
  <si>
    <t>7.2198621</t>
  </si>
  <si>
    <t>00020126740014br.gov.bcb.pix013686b26441-94eb-4523-9e8a-79120d007b940212000059254336520400005303986540554.555802BR5907TIM S A6009SAO PAULO62290525R050000592543361706094444630494A8</t>
  </si>
  <si>
    <t>36360395000180</t>
  </si>
  <si>
    <t>7.2196783.10</t>
  </si>
  <si>
    <t>00020126740014br.gov.bcb.pix013686b26441-94eb-4523-9e8a-79120d007b940212000059254368520400005303986540566.025802BR5907TIM S A6009SAO PAULO62290525R05000059254368170609455463049768</t>
  </si>
  <si>
    <t>42613154000107</t>
  </si>
  <si>
    <t>7.2196925.10</t>
  </si>
  <si>
    <t>00020126740014br.gov.bcb.pix013686b26441-94eb-4523-9e8a-79120d007b940212000059254400520400005303986540542.545802BR5907TIM S A6009SAO PAULO62290525R0500005925440017060946566304916C</t>
  </si>
  <si>
    <t>23380327000131</t>
  </si>
  <si>
    <t>7.2196765.10</t>
  </si>
  <si>
    <t>00020126740014br.gov.bcb.pix013686b26441-94eb-4523-9e8a-79120d007b940212000059254443520400005303986540544.015802BR5907TIM S A6009SAO PAULO62290525R05000059254443170609482963047F5F</t>
  </si>
  <si>
    <t>47097916000175</t>
  </si>
  <si>
    <t>7.2196594.10</t>
  </si>
  <si>
    <t>00020126740014br.gov.bcb.pix013686b26441-94eb-4523-9e8a-79120d007b940212020021493724520400005303986540538.145802BR5907TIM S A6009SAO PAULO62290525R05020021493724170609494963040786</t>
  </si>
  <si>
    <t>61114111000113</t>
  </si>
  <si>
    <t>7.2196596.10</t>
  </si>
  <si>
    <t>00020126740014br.gov.bcb.pix013686b26441-94eb-4523-9e8a-79120d007b940212000059254493520400005303986540535.215802BR5907TIM S A6009SAO PAULO62290525R05000059254493170609504863040A16</t>
  </si>
  <si>
    <t>19299657000120</t>
  </si>
  <si>
    <t>7.2196245.10</t>
  </si>
  <si>
    <t>00020126740014br.gov.bcb.pix013686b26441-94eb-4523-9e8a-79120d007b940212000059254531520400005303986540541.085802BR5907TIM S A6009SAO PAULO62290525R050000592545311706095153630433DF</t>
  </si>
  <si>
    <t>18759164000162</t>
  </si>
  <si>
    <t>7.2195172.10</t>
  </si>
  <si>
    <t>00020126740014br.gov.bcb.pix013686b26441-94eb-4523-9e8a-79120d007b940212020021493732520400005303986540557.215802BR5907TIM S A6009SAO PAULO62290525R0502002149373217060953056304498C</t>
  </si>
  <si>
    <t>20516942000134</t>
  </si>
  <si>
    <t>7.2195824.10</t>
  </si>
  <si>
    <t>00020126740014br.gov.bcb.pix013686b26441-94eb-4523-9e8a-79120d007b940212000059254599520400005303986540535.215802BR5907TIM S A6009SAO PAULO62290525R05000059254599170609541063044108</t>
  </si>
  <si>
    <t>09929761000105</t>
  </si>
  <si>
    <t>7.2195370.10</t>
  </si>
  <si>
    <t>00020126740014br.gov.bcb.pix013686b26441-94eb-4523-9e8a-79120d007b940212000059254626520400005303986540535.215802BR5907TIM S A6009SAO PAULO62290525R0500005925462617060955186304A004</t>
  </si>
  <si>
    <t>16465705000114</t>
  </si>
  <si>
    <t>7.2198466.10</t>
  </si>
  <si>
    <t>00020126740014br.gov.bcb.pix013686b26441-94eb-4523-9e8a-79120d007b940212000059271709520400005303986540515.385802BR5907TIM S A6009SAO PAULO62290525R05000059271709180610023763042806</t>
  </si>
  <si>
    <t>53352741000106</t>
  </si>
  <si>
    <t>7.2192070.10</t>
  </si>
  <si>
    <t>00020126740014br.gov.bcb.pix013686b26441-94eb-4523-9e8a-79120d007b940212000054804870520400005303986540512.595802BR5907TIM S A6009SAO PAULO62290525R360000548048701806100358630480CC</t>
  </si>
  <si>
    <t>07173233000135</t>
  </si>
  <si>
    <t>7.2178334.10</t>
  </si>
  <si>
    <t>00020126740014br.gov.bcb.pix013686b26441-94eb-4523-9e8a-79120d007b940212000054804875520400005303986540527.155802BR5907TIM S A6009SAO PAULO62290525R36000054804875180610065563042D4A</t>
  </si>
  <si>
    <t>39366192000190</t>
  </si>
  <si>
    <t>7.2178052.10</t>
  </si>
  <si>
    <t>00020126740014br.gov.bcb.pix013686b26441-94eb-4523-9e8a-79120d007b940212000059271813520400005303986540536.065802BR5907TIM S A6009SAO PAULO62290525R0500005927181318061007556304A97C</t>
  </si>
  <si>
    <t>45829917000131</t>
  </si>
  <si>
    <t>7.2177055.10</t>
  </si>
  <si>
    <t>00020126740014br.gov.bcb.pix013686b26441-94eb-4523-9e8a-79120d007b940212000059271851520400005303986540515.985802BR5907TIM S A6009SAO PAULO62290525R0500005927185118061008596304BD9E</t>
  </si>
  <si>
    <t>59818150000150</t>
  </si>
  <si>
    <t>7.2132332.10</t>
  </si>
  <si>
    <t>00020126740014br.gov.bcb.pix013686b26441-94eb-4523-9e8a-79120d007b940212000059271881520400005303986540578.845802BR5907TIM S A6009SAO PAULO62290525R0500005927188118061010206304202A</t>
  </si>
  <si>
    <t>24476716000128</t>
  </si>
  <si>
    <t>7.2171776</t>
  </si>
  <si>
    <t>00020126740014br.gov.bcb.pix013686b26441-94eb-4523-9e8a-79120d007b940212000054804877520400005303986540533.135802BR5907TIM S A6009SAO PAULO62290525R3600005480487718061011376304154C</t>
  </si>
  <si>
    <t>49096888000105</t>
  </si>
  <si>
    <t>7.2171900.10</t>
  </si>
  <si>
    <t>00020126740014br.gov.bcb.pix013686b26441-94eb-4523-9e8a-79120d007b940212000059271921520400005303986540548.795802BR5907TIM S A6009SAO PAULO62290525R050000592719211806101226630417D1</t>
  </si>
  <si>
    <t>49041771000116</t>
  </si>
  <si>
    <t>7.2177462.10</t>
  </si>
  <si>
    <t>00020126740014br.gov.bcb.pix013686b26441-94eb-4523-9e8a-79120d007b940212000059271934520400005303986540535.875802BR5907TIM S A6009SAO PAULO62290525R0500005927193418061013136304AD8F</t>
  </si>
  <si>
    <t>45575645000190</t>
  </si>
  <si>
    <t>7.2173485.10</t>
  </si>
  <si>
    <t>00020126740014br.gov.bcb.pix013686b26441-94eb-4523-9e8a-79120d007b940212000059271987520400005303986540517.855802BR5907TIM S A6009SAO PAULO62290525R0500005927198718061015016304A7CC</t>
  </si>
  <si>
    <t>24224153000180</t>
  </si>
  <si>
    <t>7.2192532.10</t>
  </si>
  <si>
    <t>00020126740014br.gov.bcb.pix013686b26441-94eb-4523-9e8a-79120d007b940212000059272037520400005303986540514.835802BR5907TIM S A6009SAO PAULO62290525R05000059272037180610171563044AD0</t>
  </si>
  <si>
    <t>54745247000166</t>
  </si>
  <si>
    <t>7.2191137.10</t>
  </si>
  <si>
    <t>00020126740014br.gov.bcb.pix013686b26441-94eb-4523-9e8a-79120d007b940212000059272066520400005303986540511.975802BR5907TIM S A6009SAO PAULO62290525R0500005927206618061018346304D58C</t>
  </si>
  <si>
    <t>41154383000130</t>
  </si>
  <si>
    <t>7.2190033.10</t>
  </si>
  <si>
    <t>00020126740014br.gov.bcb.pix013686b26441-94eb-4523-9e8a-79120d007b940212000059272090520400005303986540511.855802BR5907TIM S A6009SAO PAULO62290525R0500005927209018061019246304C3B2</t>
  </si>
  <si>
    <t>22879756000195</t>
  </si>
  <si>
    <t>7.2186816.10</t>
  </si>
  <si>
    <t>00020126740014br.gov.bcb.pix013686b26441-94eb-4523-9e8a-79120d007b940212000059272122520400005303986540511.685802BR5907TIM S A6009SAO PAULO62290525R0500005927212218061020516304317B</t>
  </si>
  <si>
    <t>60609339000111</t>
  </si>
  <si>
    <t>7.2186265.10</t>
  </si>
  <si>
    <t>00020126740014br.gov.bcb.pix013686b26441-94eb-4523-9e8a-79120d007b940212000059272140520400005303986540514.815802BR5907TIM S A6009SAO PAULO62290525R0500005927214018061021416304E1AC</t>
  </si>
  <si>
    <t>53009637000105</t>
  </si>
  <si>
    <t>7.2178341.10</t>
  </si>
  <si>
    <t>00020126740014br.gov.bcb.pix013686b26441-94eb-4523-9e8a-79120d007b940212000059272160520400005303986540512.005802BR5907TIM S A6009SAO PAULO62290525R0500005927216018061022306304B8FF</t>
  </si>
  <si>
    <t>45734352000109</t>
  </si>
  <si>
    <t>7.2177712.10</t>
  </si>
  <si>
    <t>00020126740014br.gov.bcb.pix013686b26441-94eb-4523-9e8a-79120d007b940212000059272175520400005303986540512.015802BR5907TIM S A6009SAO PAULO62290525R050000592721751806102318630461CE</t>
  </si>
  <si>
    <t>19282296000109</t>
  </si>
  <si>
    <t>7.2177452.10</t>
  </si>
  <si>
    <t>00020126740014br.gov.bcb.pix013686b26441-94eb-4523-9e8a-79120d007b940212000059272199520400005303986540512.015802BR5907TIM S A6009SAO PAULO62290525R05000059272199180610242263042682</t>
  </si>
  <si>
    <t>61995616000134</t>
  </si>
  <si>
    <t>7.2201725</t>
  </si>
  <si>
    <t>47956726000166</t>
  </si>
  <si>
    <t>7.2200686</t>
  </si>
  <si>
    <t>20828866000100</t>
  </si>
  <si>
    <t>7.2179924.10</t>
  </si>
  <si>
    <t>55918754000117</t>
  </si>
  <si>
    <t>7.2179516.10</t>
  </si>
  <si>
    <t>12902528000135</t>
  </si>
  <si>
    <t>7.2178217.10</t>
  </si>
  <si>
    <t>54136944000110</t>
  </si>
  <si>
    <t>7.2174718.10</t>
  </si>
  <si>
    <t>35335772000169</t>
  </si>
  <si>
    <t>7.2174007.10</t>
  </si>
  <si>
    <t>37340505000105</t>
  </si>
  <si>
    <t>7.2174551.10</t>
  </si>
  <si>
    <t>04923381000131</t>
  </si>
  <si>
    <t>7.2172870.10</t>
  </si>
  <si>
    <t>53703802000124</t>
  </si>
  <si>
    <t>7.2172671.10</t>
  </si>
  <si>
    <t>18288232000152</t>
  </si>
  <si>
    <t>7.2173787.10</t>
  </si>
  <si>
    <t>31097828000133</t>
  </si>
  <si>
    <t>7.2172246.10</t>
  </si>
  <si>
    <t>56975610000165</t>
  </si>
  <si>
    <t>7.2177450.10</t>
  </si>
  <si>
    <t>45720311000163</t>
  </si>
  <si>
    <t>7.2198083.10</t>
  </si>
  <si>
    <t>00020126740014br.gov.bcb.pix013686b26441-94eb-4523-9e8a-79120d007b940212000059294276520400005303986540540.655802BR5907TIM S A6009SAO PAULO62290525R050000592942761906115653630461FF</t>
  </si>
  <si>
    <t>14797680000120</t>
  </si>
  <si>
    <t>7.2192705.10</t>
  </si>
  <si>
    <t>00020126740014br.gov.bcb.pix013686b26441-94eb-4523-9e8a-79120d007b940212020021495858520400005303986540515.345802BR5907TIM S A6009SAO PAULO62290525R0502002149585819061203416304619D</t>
  </si>
  <si>
    <t>58238518000148</t>
  </si>
  <si>
    <t>7.2191489.10</t>
  </si>
  <si>
    <t>50169922000103</t>
  </si>
  <si>
    <t>7.2185033.10</t>
  </si>
  <si>
    <t>00020126740014br.gov.bcb.pix013686b26441-94eb-4523-9e8a-79120d007b940212000059294503520400005303986540527.355802BR5907TIM S A6009SAO PAULO62290525R0500005929450319061204596304B9EE</t>
  </si>
  <si>
    <t>29030400000121</t>
  </si>
  <si>
    <t>7.2165064</t>
  </si>
  <si>
    <t>00020126740014br.gov.bcb.pix013686b26441-94eb-4523-9e8a-79120d007b9402120000548055275204000053039865406130.675802BR5907TIM S A6009SAO PAULO62290525R3600005480552719061205556304D69B</t>
  </si>
  <si>
    <t>44717740000119</t>
  </si>
  <si>
    <t>7.2178430.10</t>
  </si>
  <si>
    <t>00020126740014br.gov.bcb.pix013686b26441-94eb-4523-9e8a-79120d007b940212000059294566520400005303986540570.575802BR5907TIM S A6009SAO PAULO62290525R0500005929456619061210566304D252</t>
  </si>
  <si>
    <t>24856340000187</t>
  </si>
  <si>
    <t>7.2175598.10</t>
  </si>
  <si>
    <t>00020126740014br.gov.bcb.pix013686b26441-94eb-4523-9e8a-79120d007b940212000059294675520400005303986540517.695802BR5907TIM S A6009SAO PAULO62290525R0500005929467519061211516304FC19</t>
  </si>
  <si>
    <t>34193948000122</t>
  </si>
  <si>
    <t>7.2174498</t>
  </si>
  <si>
    <t>00020126740014br.gov.bcb.pix013686b26441-94eb-4523-9e8a-79120d007b9402120000592946945204000053039865406113.635802BR5907TIM S A6009SAO PAULO62290525R0500005929469419061212446304860B</t>
  </si>
  <si>
    <t>52386866000186</t>
  </si>
  <si>
    <t>7.2179432</t>
  </si>
  <si>
    <t>00020126740014br.gov.bcb.pix013686b26441-94eb-4523-9e8a-79120d007b9402120000548055365204000053039865406554.515802BR5907TIM S A6009SAO PAULO62290525R360000548055361906121343630424BD</t>
  </si>
  <si>
    <t>50719324000152</t>
  </si>
  <si>
    <t>7.2164443.10</t>
  </si>
  <si>
    <t>00020126740014br.gov.bcb.pix013686b26441-94eb-4523-9e8a-79120d007b940212000059294746520400005303986540519.335802BR5907TIM S A6009SAO PAULO62290525R0500005929474619061214396304D154</t>
  </si>
  <si>
    <t>718.715.782-72</t>
  </si>
  <si>
    <t>1.353901674</t>
  </si>
  <si>
    <t>00020126740014br.gov.bcb.pix013686b26441-94eb-4523-9e8a-79120d007b940212000059405453520400005303986540532.675802BR5907TIM S A6009SAO PAULO62290525R0500005940545326061429286304656E</t>
  </si>
  <si>
    <t>025.521.235-62</t>
  </si>
  <si>
    <t>1.353078477</t>
  </si>
  <si>
    <t>00020126740014br.gov.bcb.pix013686b26441-94eb-4523-9e8a-79120d007b940212000059354435520400005303986540551.865802BR5907TIM S A6009SAO PAULO62290525R05000059354435230615571763041F8A</t>
  </si>
  <si>
    <t>397.408.893-87</t>
  </si>
  <si>
    <t>1.351575168</t>
  </si>
  <si>
    <t>841.625.113-49</t>
  </si>
  <si>
    <t>1.352697795</t>
  </si>
  <si>
    <t>00020126740014br.gov.bcb.pix013686b26441-94eb-4523-9e8a-79120d007b940212000059352062520400005303986540555.225802BR5907TIM S A6009SAO PAULO62290525R05000059352062230614031263045B45</t>
  </si>
  <si>
    <t>01370185000199</t>
  </si>
  <si>
    <t>7.2199163</t>
  </si>
  <si>
    <t xml:space="preserve"> 26/06/2026</t>
  </si>
  <si>
    <t>00020126740014br.gov.bcb.pix013686b26441-94eb-4523-9e8a-79120d007b940212000059334707520400005303986540530.005802BR5907TIM S A6009SAO PAULO62290525R0500005933470722061541186304EDEE</t>
  </si>
  <si>
    <t>43700140000185</t>
  </si>
  <si>
    <t>7.2198701</t>
  </si>
  <si>
    <t xml:space="preserve"> 27/06/2026</t>
  </si>
  <si>
    <t>00020126740014br.gov.bcb.pix013686b26441-94eb-4523-9e8a-79120d007b940212000059335674520400005303986540510.235802BR5907TIM S A6009SAO PAULO62290525R050000593356742206163243630400E8</t>
  </si>
  <si>
    <t>22031133000168</t>
  </si>
  <si>
    <t>7.2199016</t>
  </si>
  <si>
    <t>00020126740014br.gov.bcb.pix013686b26441-94eb-4523-9e8a-79120d007b940212000059327707520400005303986540514.935802BR5907TIM S A6009SAO PAULO62290525R05000059327707220611453163045A37</t>
  </si>
  <si>
    <t>00985429000185</t>
  </si>
  <si>
    <t>7.2197487</t>
  </si>
  <si>
    <t>00020126740014br.gov.bcb.pix013686b26441-94eb-4523-9e8a-79120d007b940212000059331117520400005303986540523.355802BR5907TIM S A6009SAO PAULO62290525R0500005933111722061343146304E0BC</t>
  </si>
  <si>
    <t>17177406000147</t>
  </si>
  <si>
    <t>7.2194727</t>
  </si>
  <si>
    <t>00020126740014br.gov.bcb.pix013686b26441-94eb-4523-9e8a-79120d007b940212000059327530520400005303986540514.595802BR5907TIM S A6009SAO PAULO62290525R0500005932753022061140206304C8AC</t>
  </si>
  <si>
    <t>48389074000198</t>
  </si>
  <si>
    <t>7.2194473.10</t>
  </si>
  <si>
    <t>00020126740014br.gov.bcb.pix013686b26441-94eb-4523-9e8a-79120d007b9402120000593445745204000053039865406277.335802BR5907TIM S A6009SAO PAULO62290525R05000059344574230608534863040687</t>
  </si>
  <si>
    <t>37117365000100</t>
  </si>
  <si>
    <t>7.2191982</t>
  </si>
  <si>
    <t>00020126740014br.gov.bcb.pix013686b26441-94eb-4523-9e8a-79120d007b940212000059331691520400005303986540559.035802BR5907TIM S A6009SAO PAULO62290525R0500005933169122061358556304E614</t>
  </si>
  <si>
    <t>10534003000169</t>
  </si>
  <si>
    <t>7.2193765</t>
  </si>
  <si>
    <t>00020126740014br.gov.bcb.pix013686b26441-94eb-4523-9e8a-79120d007b940212000059343351520400005303986540529.235802BR5907TIM S A6009SAO PAULO62290525R05000059343351230608075863043391</t>
  </si>
  <si>
    <t>05658523000143</t>
  </si>
  <si>
    <t>7.2190743</t>
  </si>
  <si>
    <t xml:space="preserve">00020126740014br.gov.bcb.pix013686b26441-94eb-4523-9e8a-79120d007b9402120000548064235204000053039865406680.405802BR5907TIM S A6009SAO PAULO62290525R3600005480642322061206296304F1B3
</t>
  </si>
  <si>
    <t>27229308000160</t>
  </si>
  <si>
    <t>7.2190396</t>
  </si>
  <si>
    <t>00020126740014br.gov.bcb.pix013686b26441-94eb-4523-9e8a-79120d007b940212000059335201520400005303986540514.465802BR5907TIM S A6009SAO PAULO62290525R0500005933520122061553196304146C</t>
  </si>
  <si>
    <t>28104400000166</t>
  </si>
  <si>
    <t>7.2190017.10</t>
  </si>
  <si>
    <t>00020126740014br.gov.bcb.pix013686b26441-94eb-4523-9e8a-79120d007b940212000059334978520400005303986540516.855802BR5907TIM S A6009SAO PAULO62290525R05000059334978220615472763045C72</t>
  </si>
  <si>
    <t>04927064000193</t>
  </si>
  <si>
    <t>7.2106022</t>
  </si>
  <si>
    <t xml:space="preserve">00020126740014br.gov.bcb.pix013686b26441-94eb-4523-9e8a-79120d007b9402120000593468545204000053039865406254.295802BR5907TIM S A6009SAO PAULO62290525R0500005934685423061019176304D6A5
</t>
  </si>
  <si>
    <t>03475569000100</t>
  </si>
  <si>
    <t>7.2187828</t>
  </si>
  <si>
    <t>00020126740014br.gov.bcb.pix013686b26441-94eb-4523-9e8a-79120d007b940212000059332964520400005303986540533.555802BR5907TIM S A6009SAO PAULO62290525R050000593329642206144447630492E8</t>
  </si>
  <si>
    <t>22411388000156</t>
  </si>
  <si>
    <t>7.2187848.10</t>
  </si>
  <si>
    <t>00020126740014br.gov.bcb.pix013686b26441-94eb-4523-9e8a-79120d007b940212000059335373520400005303986540514.555802BR5907TIM S A6009SAO PAULO62290525R0500005933537322061559296304DD64</t>
  </si>
  <si>
    <t>05355970000123</t>
  </si>
  <si>
    <t>7.2186936</t>
  </si>
  <si>
    <t>00020126740014br.gov.bcb.pix013686b26441-94eb-4523-9e8a-79120d007b940212000059333541520400005303986540529.945802BR5907TIM S A6009SAO PAULO62290525R05000059333541220615070663049061</t>
  </si>
  <si>
    <t>17252189000102</t>
  </si>
  <si>
    <t>7.2183937</t>
  </si>
  <si>
    <t>00020126740014br.gov.bcb.pix013686b26441-94eb-4523-9e8a-79120d007b940212000059343097520400005303986540542.575802BR5907TIM S A6009SAO PAULO62290525R05000059343097230607422063044055</t>
  </si>
  <si>
    <t>23118766000170</t>
  </si>
  <si>
    <t>7.2184689</t>
  </si>
  <si>
    <t>00020126740014br.gov.bcb.pix013686b26441-94eb-4523-9e8a-79120d007b940212000059331841520400005303986540529.975802BR5907TIM S A6009SAO PAULO62290525R050000593318412206140250630400E4</t>
  </si>
  <si>
    <t>40544404000160</t>
  </si>
  <si>
    <t>7.2183096</t>
  </si>
  <si>
    <t>00020126740014br.gov.bcb.pix013686b26441-94eb-4523-9e8a-79120d007b940212000059346389520400005303986540529.895802BR5907TIM S A6009SAO PAULO62290525R050000593463892306100202630476A3</t>
  </si>
  <si>
    <t>28891095000108</t>
  </si>
  <si>
    <t>7.2182951.10</t>
  </si>
  <si>
    <t>00020126740014br.gov.bcb.pix013686b26441-94eb-4523-9e8a-79120d007b940212000059352489520400005303986540514.555802BR5907TIM S A6009SAO PAULO62290525R0500005935248923061422336304C4EA</t>
  </si>
  <si>
    <t>50214852000150</t>
  </si>
  <si>
    <t>7.2187580.10</t>
  </si>
  <si>
    <t>00020126740014br.gov.bcb.pix013686b26441-94eb-4523-9e8a-79120d007b940212000054807037520400005303986540532.745802BR5907TIM S A6009SAO PAULO62290525R3600005480703723061150526304D853</t>
  </si>
  <si>
    <t>49839261000199</t>
  </si>
  <si>
    <t>7.2183885</t>
  </si>
  <si>
    <t>00020126740014br.gov.bcb.pix013686b26441-94eb-4523-9e8a-79120d007b940212000059347813520400005303986540558.825802BR5907TIM S A6009SAO PAULO62290525R05000059347813230610544063043C1B</t>
  </si>
  <si>
    <t>37931133000191</t>
  </si>
  <si>
    <t>7.2178990</t>
  </si>
  <si>
    <t xml:space="preserve">00020126740014br.gov.bcb.pix013686b26441-94eb-4523-9e8a-79120d007b940212000059353778520400005303986540529.065802BR5907TIM S A6009SAO PAULO62290525R050000593537782306152335630409AE
</t>
  </si>
  <si>
    <t>55365059000175</t>
  </si>
  <si>
    <t>7.2177930.10</t>
  </si>
  <si>
    <t xml:space="preserve">00020126740014br.gov.bcb.pix013686b26441-94eb-4523-9e8a-79120d007b940212000054807118520400005303986540541.035802BR5907TIM S A6009SAO PAULO62290525R3600005480711823061341526304941F
</t>
  </si>
  <si>
    <t>37505001000106</t>
  </si>
  <si>
    <t>7.2179542.10</t>
  </si>
  <si>
    <t>00020126740014br.gov.bcb.pix013686b26441-94eb-4523-9e8a-79120d007b940212000059332276520400005303986540523.535802BR5907TIM S A6009SAO PAULO62290525R0500005933227622061419216304FAE0</t>
  </si>
  <si>
    <t>47497949000102</t>
  </si>
  <si>
    <t>7.2177280.10</t>
  </si>
  <si>
    <t>00020126740014br.gov.bcb.pix013686b26441-94eb-4523-9e8a-79120d007b940212000059332645520400005303986540524.155802BR5907TIM S A6009SAO PAULO62290525R0500005933264522061432356304078E</t>
  </si>
  <si>
    <t>49309176000119</t>
  </si>
  <si>
    <t>7.2177209.10</t>
  </si>
  <si>
    <t>00020126740014br.gov.bcb.pix013686b26441-94eb-4523-9e8a-79120d007b940212000054806694520400005303986540535.045802BR5907TIM S A6009SAO PAULO62290525R3600005480669422061743226304642B</t>
  </si>
  <si>
    <t>52667512000100</t>
  </si>
  <si>
    <t>7.2175368</t>
  </si>
  <si>
    <t>00020126740014br.gov.bcb.pix013686b26441-94eb-4523-9e8a-79120d007b940212000054807061520400005303986540543.085802BR5907TIM S A6009SAO PAULO62290525R3600005480706123061218146304591B</t>
  </si>
  <si>
    <t>61542420000194</t>
  </si>
  <si>
    <t>7.2173438.10</t>
  </si>
  <si>
    <t>00020126740014br.gov.bcb.pix013686b26441-94eb-4523-9e8a-79120d007b940212000054806941520400005303986540546.215802BR5907TIM S A6009SAO PAULO62290525R36000054806941230610210363048D56</t>
  </si>
  <si>
    <t>01239341000187</t>
  </si>
  <si>
    <t>7.2173530</t>
  </si>
  <si>
    <t>00020126740014br.gov.bcb.pix013686b26441-94eb-4523-9e8a-79120d007b940212000054806537520400005303986540556.855802BR5907TIM S A6009SAO PAULO62290525R3600005480653722061409226304BF34</t>
  </si>
  <si>
    <t>45667952000100</t>
  </si>
  <si>
    <t>7.2175931.10</t>
  </si>
  <si>
    <t>00020126740014br.gov.bcb.pix013686b26441-94eb-4523-9e8a-79120d007b940212000059336501520400005303986540512.585802BR5907TIM S A6009SAO PAULO62290525R05000059336501220616373463040EBB</t>
  </si>
  <si>
    <t>53589757000129</t>
  </si>
  <si>
    <t>7.2172523</t>
  </si>
  <si>
    <t xml:space="preserve">00020126740014br.gov.bcb.pix013686b26441-94eb-4523-9e8a-79120d007b940212000059332755520400005303986540517.545802BR5907TIM S A6009SAO PAULO62290525R050000593327552206143707630452B5  </t>
  </si>
  <si>
    <t>55731784000110</t>
  </si>
  <si>
    <t>7.2172750.10</t>
  </si>
  <si>
    <t xml:space="preserve">00020126740014br.gov.bcb.pix013686b26441-94eb-4523-9e8a-79120d007b940212000059349054520400005303986540517.895802BR5907TIM S A6009SAO PAULO62290525R05000059349054230611421263042185
</t>
  </si>
  <si>
    <t>40080850000161</t>
  </si>
  <si>
    <t>7.2172249.10</t>
  </si>
  <si>
    <t xml:space="preserve">00020126740014br.gov.bcb.pix013686b26441-94eb-4523-9e8a-79120d007b940212000054807067520400005303986540566.985802BR5907TIM S A6009SAO PAULO62290525R36000054807067230612291863040B73 </t>
  </si>
  <si>
    <t>10935040000189</t>
  </si>
  <si>
    <t>7.2198964</t>
  </si>
  <si>
    <t>00020126740014br.gov.bcb.pix013686b26441-94eb-4523-9e8a-79120d007b94021200005934837352040000530398654047.955802BR5907TIM S A6009SAO PAULO62290525R050000593483732306111644630412CB</t>
  </si>
  <si>
    <t>01958920000180</t>
  </si>
  <si>
    <t>7.2190088</t>
  </si>
  <si>
    <t>00020126740014br.gov.bcb.pix013686b26441-94eb-4523-9e8a-79120d007b940212000059348431520400005303986540510.565802BR5907TIM S A6009SAO PAULO62290525R05000059348431230611184363044997</t>
  </si>
  <si>
    <t>22584177000204</t>
  </si>
  <si>
    <t>7.2185587</t>
  </si>
  <si>
    <t>00020126740014br.gov.bcb.pix013686b26441-94eb-4523-9e8a-79120d007b940212000059348446520400005303986540511.965802BR5907TIM S A6009SAO PAULO62290525R05000059348446230611193863041742</t>
  </si>
  <si>
    <t>50886280000155</t>
  </si>
  <si>
    <t>7.2187080.10</t>
  </si>
  <si>
    <t>52903892000134</t>
  </si>
  <si>
    <t>7.2187004</t>
  </si>
  <si>
    <t>00020126740014br.gov.bcb.pix013686b26441-94eb-4523-9e8a-79120d007b9402120000593486005204000053039865406531.665802BR5907TIM S A6009SAO PAULO62290525R05000059348600230611254663042E2F</t>
  </si>
  <si>
    <t>47747437000157</t>
  </si>
  <si>
    <t>7.2181918.10</t>
  </si>
  <si>
    <t>00020126740014br.gov.bcb.pix013686b26441-94eb-4523-9e8a-79120d007b94021200005934863552040000530398654045.975802BR5907TIM S A6009SAO PAULO62290525R0500005934863523061126526304F981</t>
  </si>
  <si>
    <t>01838702000101</t>
  </si>
  <si>
    <t>7.2179218</t>
  </si>
  <si>
    <t>00020126740014br.gov.bcb.pix013686b26441-94eb-4523-9e8a-79120d007b940212000059348677520400005303986540515.925802BR5907TIM S A6009SAO PAULO62290525R0500005934867723061127446304678A</t>
  </si>
  <si>
    <t>37754242000180</t>
  </si>
  <si>
    <t>7.2179194</t>
  </si>
  <si>
    <t>00020126740014br.gov.bcb.pix013686b26441-94eb-4523-9e8a-79120d007b940212000054807014520400005303986540538.555802BR5907TIM S A6009SAO PAULO62290525R36000054807014230611290363045D2F</t>
  </si>
  <si>
    <t>28644973000182</t>
  </si>
  <si>
    <t>7.2179190</t>
  </si>
  <si>
    <t>00020126740014br.gov.bcb.pix013686b26441-94eb-4523-9e8a-79120d007b940212000054807017520400005303986540542.045802BR5907TIM S A6009SAO PAULO62290525R360000548070172306113024630469E0</t>
  </si>
  <si>
    <t>12339598000127</t>
  </si>
  <si>
    <t>7.2178639.10</t>
  </si>
  <si>
    <t>00020126740014br.gov.bcb.pix013686b26441-94eb-4523-9e8a-79120d007b940212000059348766520400005303986540512.015802BR5907TIM S A6009SAO PAULO62290525R0500005934876623061131246304F984</t>
  </si>
  <si>
    <t>036.637.142-84</t>
  </si>
  <si>
    <t>1.352696048</t>
  </si>
  <si>
    <t>00020126740014br.gov.bcb.pix013686b26441-94eb-4523-9e8a-79120d007b940212000054807154520400005303986540558.005802BR5907TIM S A6009SAO PAULO62290525R3600005480715423061444396304738D</t>
  </si>
  <si>
    <t>201.063.602-30</t>
  </si>
  <si>
    <t>1.354941196</t>
  </si>
  <si>
    <t>861.019.602-00</t>
  </si>
  <si>
    <t>1.354766606</t>
  </si>
  <si>
    <t>00020126740014br.gov.bcb.pix013686b26441-94eb-4523-9e8a-79120d007b940212000059380920520400005303986540531.145802BR5907TIM S A6009SAO PAULO62290525R05000059380920250611100363040A0C</t>
  </si>
  <si>
    <t>013.658.126-93</t>
  </si>
  <si>
    <t>1.352532580</t>
  </si>
  <si>
    <t>00020126740014br.gov.bcb.pix013686b26441-94eb-4523-9e8a-79120d007b940212000059454132520400005303986540521.265802BR5907TIM S A6009SAO PAULO62290525R05000059454132290611370663044CB3</t>
  </si>
  <si>
    <t>00020126740014br.gov.bcb.pix013686b26441-94eb-4523-9e8a-79120d007b940212000059488798520400005303986540524.365802BR5907TIM S A6009SAO PAULO62290525R0500005948879801071536096304272E</t>
  </si>
  <si>
    <t>157.665.942-91</t>
  </si>
  <si>
    <t>1.354446931</t>
  </si>
  <si>
    <t xml:space="preserve">00020126740014br.gov.bcb.pix013686b26441-94eb-4523-9e8a-79120d007b940212000059381398520400005303986540535.085802BR5907TIM S A6009SAO PAULO62290525R05000059381398250611275763043C55
</t>
  </si>
  <si>
    <t>341.365.843-34</t>
  </si>
  <si>
    <t>1.352778609</t>
  </si>
  <si>
    <t>343.243.482-00</t>
  </si>
  <si>
    <t>1.354201337</t>
  </si>
  <si>
    <t>00020126740014br.gov.bcb.pix013686b26441-94eb-4523-9e8a-79120d007b940212000059488959520400005303986540525.955802BR5907TIM S A6009SAO PAULO62290525R05000059488959010715442763049FC1</t>
  </si>
  <si>
    <t>826.197.512-68</t>
  </si>
  <si>
    <t>1.352513120</t>
  </si>
  <si>
    <t>00020126740014br.gov.bcb.pix013686b26441-94eb-4523-9e8a-79120d007b940212000059399124520400005303986540545.775802BR5907TIM S A6009SAO PAULO62290525R05000059399124260609534563048351</t>
  </si>
  <si>
    <t>010.270.952-16</t>
  </si>
  <si>
    <t>1.353875835</t>
  </si>
  <si>
    <t>00020126740014br.gov.bcb.pix013686b26441-94eb-4523-9e8a-79120d007b940212000059380174520400005303986540526.005802BR5907TIM S A6009SAO PAULO62290525R05000059380174250610451963049B26</t>
  </si>
  <si>
    <t>344.048.482-34</t>
  </si>
  <si>
    <t>1.353727193</t>
  </si>
  <si>
    <t>00020126740014br.gov.bcb.pix013686b26441-94eb-4523-9e8a-79120d007b940212000059407017520400005303986540544.765802BR5907TIM S A6009SAO PAULO62290525R05000059407017260615481463040D0D</t>
  </si>
  <si>
    <t>070.032.232-95</t>
  </si>
  <si>
    <t>1.352810919</t>
  </si>
  <si>
    <t>193.222.912-49</t>
  </si>
  <si>
    <t>1.353133389</t>
  </si>
  <si>
    <t>00020126740014br.gov.bcb.pix013686b26441-94eb-4523-9e8a-79120d007b940212000059488931520400005303986540522.335802BR5907TIM S A6009SAO PAULO62290525R0500005948893101071542376304F9E9</t>
  </si>
  <si>
    <t>057.044.912-00</t>
  </si>
  <si>
    <t>1.354006220</t>
  </si>
  <si>
    <t>00020126740014br.gov.bcb.pix013686b26441-94eb-4523-9e8a-79120d007b940212000059382638520400005303986540516.935802BR5907TIM S A6009SAO PAULO62290525R0500005938263825061218356304280D</t>
  </si>
  <si>
    <t>795.772.882-00</t>
  </si>
  <si>
    <t>1.354850526</t>
  </si>
  <si>
    <t>00020126740014br.gov.bcb.pix013686b26441-94eb-4523-9e8a-79120d007b940212000059453842520400005303986540517.415802BR5907TIM S A6009SAO PAULO62290525R05000059453842290611263663045FB5</t>
  </si>
  <si>
    <t>033.146.352-06</t>
  </si>
  <si>
    <t>1.353852653</t>
  </si>
  <si>
    <t>00020126740014br.gov.bcb.pix013686b26441-94eb-4523-9e8a-79120d007b940212000059398674520400005303986540544.925802BR5907TIM S A6009SAO PAULO62290525R05000059398674260609365563048530</t>
  </si>
  <si>
    <t>027.140.122-21</t>
  </si>
  <si>
    <t>1.352937602</t>
  </si>
  <si>
    <t>00020126740014br.gov.bcb.pix013686b26441-94eb-4523-9e8a-79120d007b940212000059382376520400005303986540520.005802BR5907TIM S A6009SAO PAULO62290525R0500005938237625061206186304DD61</t>
  </si>
  <si>
    <t>144.045.082-04</t>
  </si>
  <si>
    <t>1.355318109</t>
  </si>
  <si>
    <t>014.672.782-70</t>
  </si>
  <si>
    <t>1.352524840</t>
  </si>
  <si>
    <t>00020126740014br.gov.bcb.pix013686b26441-94eb-4523-9e8a-79120d007b940212000054807954520400005303986540548.895802BR5907TIM S A6009SAO PAULO62290525R36000054807954250611440963045293</t>
  </si>
  <si>
    <t>722.209.103-34</t>
  </si>
  <si>
    <t>1.355063896</t>
  </si>
  <si>
    <t>406.779.742-72</t>
  </si>
  <si>
    <t>1.354593958</t>
  </si>
  <si>
    <t>00020126740014br.gov.bcb.pix013686b26441-94eb-4523-9e8a-79120d007b940212000059489004520400005303986540520.805802BR5907TIM S A6009SAO PAULO62290525R0500005948900401071547196304AFB3</t>
  </si>
  <si>
    <t>475.635.672-91</t>
  </si>
  <si>
    <t>1.353080190</t>
  </si>
  <si>
    <t>00020126740014br.gov.bcb.pix013686b26441-94eb-4523-9e8a-79120d007b940212000059451310520400005303986540544.605802BR5907TIM S A6009SAO PAULO62290525R050000594513102906102203630466A7</t>
  </si>
  <si>
    <t>984.571.602-49</t>
  </si>
  <si>
    <t>1.354544299</t>
  </si>
  <si>
    <t>00020126740014br.gov.bcb.pix013686b26441-94eb-4523-9e8a-79120d007b940212000059466561520400005303986540520.805802BR5907TIM S A6009SAO PAULO62290525R0500005946656130061058176304EC50</t>
  </si>
  <si>
    <t>1.353267480</t>
  </si>
  <si>
    <t>00020126740014br.gov.bcb.pix013686b26441-94eb-4523-9e8a-79120d007b940212000059385561520400005303986540544.725802BR5907TIM S A6009SAO PAULO62290525R0500005938556125061433106304BCCC</t>
  </si>
  <si>
    <t>025.738.634-33</t>
  </si>
  <si>
    <t>1.353460409</t>
  </si>
  <si>
    <t>00020126740014br.gov.bcb.pix013686b26441-94eb-4523-9e8a-79120d007b940212000059451237520400005303986540535.005802BR5907TIM S A6009SAO PAULO62290525R05000059451237290609595463049DF0</t>
  </si>
  <si>
    <t>00020126740014br.gov.bcb.pix013686b26441-94eb-4523-9e8a-79120d007b940212000059488978520400005303986540518.195802BR5907TIM S A6009SAO PAULO62290525R0500005948897801071545516304B801</t>
  </si>
  <si>
    <t>712.270.602-89</t>
  </si>
  <si>
    <t>1.353794562</t>
  </si>
  <si>
    <t>00020126740014br.gov.bcb.pix013686b26441-94eb-4523-9e8a-79120d007b940212000059402595520400005303986540540.835802BR5907TIM S A6009SAO PAULO62290525R0500005940259526061158246304F50D</t>
  </si>
  <si>
    <t>862.889.542-68</t>
  </si>
  <si>
    <t>1.352735884</t>
  </si>
  <si>
    <t>00020126740014br.gov.bcb.pix013686b26441-94eb-4523-9e8a-79120d007b940212000059406613520400005303986540534.565802BR5907TIM S A6009SAO PAULO62290525R0500005940661326061527066304AE7F</t>
  </si>
  <si>
    <t>320.666.272-91</t>
  </si>
  <si>
    <t>1.353138462</t>
  </si>
  <si>
    <t>00020126740014br.gov.bcb.pix013686b26441-94eb-4523-9e8a-79120d007b940212000059452807520400005303986540545.385802BR5907TIM S A6009SAO PAULO62290525R05000059452807290611031263044A8F</t>
  </si>
  <si>
    <t>037.350.322-90</t>
  </si>
  <si>
    <t>1.353341185</t>
  </si>
  <si>
    <t>00020126740014br.gov.bcb.pix013686b26441-94eb-4523-9e8a-79120d007b940212000059400009520400005303986540541.135802BR5907TIM S A6009SAO PAULO62290525R0500005940000926061025166304D367</t>
  </si>
  <si>
    <t>624.433.212-15</t>
  </si>
  <si>
    <t>1.353042381</t>
  </si>
  <si>
    <t>00020126740014br.gov.bcb.pix013686b26441-94eb-4523-9e8a-79120d007b940212000059384205520400005303986540522.705802BR5907TIM S A6009SAO PAULO62290525R05000059384205250613352663042C03</t>
  </si>
  <si>
    <t>035.497.902-79</t>
  </si>
  <si>
    <t>1.353503059</t>
  </si>
  <si>
    <t>00020126740014br.gov.bcb.pix013686b26441-94eb-4523-9e8a-79120d007b940212000059400974520400005303986540526.645802BR5907TIM S A6009SAO PAULO62290525R0500005940097426061100066304818D</t>
  </si>
  <si>
    <t>314.101.112-53</t>
  </si>
  <si>
    <t>1.354026616</t>
  </si>
  <si>
    <t>00020126740014br.gov.bcb.pix013686b26441-94eb-4523-9e8a-79120d007b940212000059404075520400005303986540544.775802BR5907TIM S A6009SAO PAULO62290525R05000059404075260613282463042B86</t>
  </si>
  <si>
    <t>709.074.582-11</t>
  </si>
  <si>
    <t>1.353854593</t>
  </si>
  <si>
    <t>00020126740014br.gov.bcb.pix013686b26441-94eb-4523-9e8a-79120d007b940212000059386173520400005303986540544.645802BR5907TIM S A6009SAO PAULO62290525R0500005938617325061500426304951E</t>
  </si>
  <si>
    <t>797.103.102-59</t>
  </si>
  <si>
    <t>1.354541691</t>
  </si>
  <si>
    <t>00020126740014br.gov.bcb.pix013686b26441-94eb-4523-9e8a-79120d007b940212000059488869520400005303986540524.595802BR5907TIM S A6009SAO PAULO62290525R05000059488869010715391063041596</t>
  </si>
  <si>
    <t>519.904.662-49</t>
  </si>
  <si>
    <t>1.354327305</t>
  </si>
  <si>
    <t>00020126740014br.gov.bcb.pix013686b26441-94eb-4523-9e8a-79120d007b940212000059386626520400005303986540522.355802BR5907TIM S A6009SAO PAULO62290525R0500005938662625061521226304EF09</t>
  </si>
  <si>
    <t>188.549.312-68</t>
  </si>
  <si>
    <t>1.353142637</t>
  </si>
  <si>
    <t>00020126740014br.gov.bcb.pix013686b26441-94eb-4523-9e8a-79120d007b940212000059384470520400005303986540533.615802BR5907TIM S A6009SAO PAULO62290525R0500005938447025061346436304D667</t>
  </si>
  <si>
    <t>107.951.446-52</t>
  </si>
  <si>
    <t>1.353638577</t>
  </si>
  <si>
    <t>100.464.025-00</t>
  </si>
  <si>
    <t>1.352571310</t>
  </si>
  <si>
    <t>00020126740014br.gov.bcb.pix013686b26441-94eb-4523-9e8a-79120d007b940212000059488769520400005303986540522.305802BR5907TIM S A6009SAO PAULO62290525R05000059488769010715343663043989</t>
  </si>
  <si>
    <t>814.497.475-15</t>
  </si>
  <si>
    <t>1.353660341</t>
  </si>
  <si>
    <t>00020126740014br.gov.bcb.pix013686b26441-94eb-4523-9e8a-79120d007b940212000059386531520400005303986540522.575802BR5907TIM S A6009SAO PAULO62290525R0500005938653125061516556304DC21</t>
  </si>
  <si>
    <t>022.107.457-05</t>
  </si>
  <si>
    <t>1.355470561</t>
  </si>
  <si>
    <t>00020126740014br.gov.bcb.pix013686b26441-94eb-4523-9e8a-79120d007b940212000059461511520400005303986540544.705802BR5907TIM S A6009SAO PAULO62290525R0500005946151130060754476304323D</t>
  </si>
  <si>
    <t>22.249.845/0001-58</t>
  </si>
  <si>
    <t>1.355459127</t>
  </si>
  <si>
    <t>083.970.456-94</t>
  </si>
  <si>
    <t>1.353918888</t>
  </si>
  <si>
    <t>00020126740014br.gov.bcb.pix013686b26441-94eb-4523-9e8a-79120d007b940212000059388868520400005303986540522.575802BR5907TIM S A6009SAO PAULO62290525R05000059388868250616490063042B01</t>
  </si>
  <si>
    <t>408.167.296-20</t>
  </si>
  <si>
    <t>1.353904155</t>
  </si>
  <si>
    <t>00020126740014br.gov.bcb.pix013686b26441-94eb-4523-9e8a-79120d007b940212000059389195520400005303986540544.575802BR5907TIM S A6009SAO PAULO62290525R05000059389195250617032363043A17</t>
  </si>
  <si>
    <t>00020126740014br.gov.bcb.pix013686b26441-94eb-4523-9e8a-79120d007b940212000059387604520400005303986540522.295802BR5907TIM S A6009SAO PAULO62290525R05000059387604250616002163044DC3</t>
  </si>
  <si>
    <t>00020126740014br.gov.bcb.pix013686b26441-94eb-4523-9e8a-79120d007b940212000054808056520400005303986540540.105802BR5907TIM S A6009SAO PAULO62290525R36000054808056250614065963042A13</t>
  </si>
  <si>
    <t>014.511.426-09</t>
  </si>
  <si>
    <t>1.352379165</t>
  </si>
  <si>
    <t>00020126740014br.gov.bcb.pix013686b26441-94eb-4523-9e8a-79120d007b940212000059387238520400005303986540530.005802BR5907TIM S A6009SAO PAULO62290525R05000059387238250615470963046915</t>
  </si>
  <si>
    <t>819.766.156-15</t>
  </si>
  <si>
    <t>1.352768595</t>
  </si>
  <si>
    <t xml:space="preserve">00020126740014br.gov.bcb.pix013686b26441-94eb-4523-9e8a-79120d007b940212000059386858520400005303986540545.665802BR5907TIM S A6009SAO PAULO62290525R0500005938685825061532526304DEBB
</t>
  </si>
  <si>
    <t>676.459.926-20</t>
  </si>
  <si>
    <t>1.354075895</t>
  </si>
  <si>
    <t>00020126740014br.gov.bcb.pix013686b26441-94eb-4523-9e8a-79120d007b940212000059385340520400005303986540535.005802BR5907TIM S A6009SAO PAULO62290525R0500005938534025061428016304555D</t>
  </si>
  <si>
    <t>016.118.532-06</t>
  </si>
  <si>
    <t>1.353869770</t>
  </si>
  <si>
    <t>813.369.425-68</t>
  </si>
  <si>
    <t>1.354514381</t>
  </si>
  <si>
    <t>027.773.504-18</t>
  </si>
  <si>
    <t>1.352481052</t>
  </si>
  <si>
    <t>00020126740014br.gov.bcb.pix013686b26441-94eb-4523-9e8a-79120d007b940212000054809364520400005303986540552.715802BR5907TIM S A6009SAO PAULO62290525R3600005480936429061159056304D66A</t>
  </si>
  <si>
    <t>192.099.326-68</t>
  </si>
  <si>
    <t>1.353671728</t>
  </si>
  <si>
    <t>055.948.803-30</t>
  </si>
  <si>
    <t>1.353664963</t>
  </si>
  <si>
    <t>00020126740014br.gov.bcb.pix013686b26441-94eb-4523-9e8a-79120d007b940212000059488910520400005303986540520.285802BR5907TIM S A6009SAO PAULO62290525R0500005948891001071541276304E4B0</t>
  </si>
  <si>
    <t>755.508.653-00</t>
  </si>
  <si>
    <t>1.353675767</t>
  </si>
  <si>
    <t>00020126740014br.gov.bcb.pix013686b26441-94eb-4523-9e8a-79120d007b940212000059488892520400005303986540519.815802BR5907TIM S A6009SAO PAULO62290525R05000059488892010715402263048D24</t>
  </si>
  <si>
    <t>172.694.824-20</t>
  </si>
  <si>
    <t>1.354975713</t>
  </si>
  <si>
    <t>00020126740014br.gov.bcb.pix013686b26441-94eb-4523-9e8a-79120d007b940212000059386354520400005303986540534.045802BR5907TIM S A6009SAO PAULO62290525R0500005938635425061509276304CF6E</t>
  </si>
  <si>
    <t>202.125.504-20</t>
  </si>
  <si>
    <t>1.353630886</t>
  </si>
  <si>
    <t>00020126740014br.gov.bcb.pix013686b26441-94eb-4523-9e8a-79120d007b940212000059405567520400005303986540522.295802BR5907TIM S A6009SAO PAULO62290525R0500005940556726061434216304A6DB</t>
  </si>
  <si>
    <t>012.828.795-02</t>
  </si>
  <si>
    <t>1.353423249</t>
  </si>
  <si>
    <t>00020126740014br.gov.bcb.pix013686b26441-94eb-4523-9e8a-79120d007b940212000059405580520400005303986540522.575802BR5907TIM S A6009SAO PAULO62290525R050000594055802606143522630492F9</t>
  </si>
  <si>
    <t>056.385.015-92</t>
  </si>
  <si>
    <t>1.354849422</t>
  </si>
  <si>
    <t>00020126740014br.gov.bcb.pix013686b26441-94eb-4523-9e8a-79120d007b940212000059405590520400005303986540518.535802BR5907TIM S A6009SAO PAULO62290525R05000059405590260614361863043B91</t>
  </si>
  <si>
    <t>267.727.873-15</t>
  </si>
  <si>
    <t>00020126740014br.gov.bcb.pix013686b26441-94eb-4523-9e8a-79120d007b940212000059405614520400005303986540522.355802BR5907TIM S A6009SAO PAULO62290525R0500005940561426061437376304DE74</t>
  </si>
  <si>
    <t>089.731.644-49</t>
  </si>
  <si>
    <t>1.354747621</t>
  </si>
  <si>
    <t>00020126740014br.gov.bcb.pix013686b26441-94eb-4523-9e8a-79120d007b940212000059405632520400005303986540518.915802BR5907TIM S A6009SAO PAULO62290525R0500005940563226061438376304F406</t>
  </si>
  <si>
    <t>023.206.064-91</t>
  </si>
  <si>
    <t>1.352638222</t>
  </si>
  <si>
    <t>00020126740014br.gov.bcb.pix013686b26441-94eb-4523-9e8a-79120d007b940212000054808585520400005303986540541.935802BR5907TIM S A6009SAO PAULO62290525R3600005480858526061440036304E3F5</t>
  </si>
  <si>
    <t>007.686.612-26</t>
  </si>
  <si>
    <t>1.355504661</t>
  </si>
  <si>
    <t>335.636.592-49</t>
  </si>
  <si>
    <t>1.352325170</t>
  </si>
  <si>
    <t>00020126740014br.gov.bcb.pix013686b26441-94eb-4523-9e8a-79120d007b940212000059470211520400005303986540553.875802BR5907TIM S A6009SAO PAULO62290525R050000594702113006135309630489CD</t>
  </si>
  <si>
    <t>636.852.212-72</t>
  </si>
  <si>
    <t>1.353329832</t>
  </si>
  <si>
    <t>00020126740014br.gov.bcb.pix013686b26441-94eb-4523-9e8a-79120d007b940212000059488083520400005303986540522.565802BR5907TIM S A6009SAO PAULO62290525R0500005948808301071502076304CD2C</t>
  </si>
  <si>
    <t>1.353038158</t>
  </si>
  <si>
    <t>00020126740014br.gov.bcb.pix013686b26441-94eb-4523-9e8a-79120d007b940212000059471310520400005303986540567.675802BR5907TIM S A6009SAO PAULO62290525R0500005947131030061443196304CB7B</t>
  </si>
  <si>
    <t>00020126740014br.gov.bcb.pix013686b26441-94eb-4523-9e8a-79120d007b940212000054809742520400005303986540551.805802BR5907TIM S A6009SAO PAULO62290525R3600005480974230061138126304EAA8</t>
  </si>
  <si>
    <t>283.084.503-00</t>
  </si>
  <si>
    <t>1.353113850</t>
  </si>
  <si>
    <t>00020126740014br.gov.bcb.pix013686b26441-94eb-4523-9e8a-79120d007b940212000054811206520400005303986540580.655802BR5907TIM S A6009SAO PAULO62290525R3600005481120602071437426304C1F3</t>
  </si>
  <si>
    <t>701.789.962-89</t>
  </si>
  <si>
    <t>1.352744691</t>
  </si>
  <si>
    <t xml:space="preserve"> 04/07/2026</t>
  </si>
  <si>
    <t>00020126740014br.gov.bcb.pix013686b26441-94eb-4523-9e8a-79120d007b940212000059470281520400005303986540545.765802BR5907TIM S A6009SAO PAULO62290525R05000059470281300613561363040A9B</t>
  </si>
  <si>
    <t>998.688.652-04</t>
  </si>
  <si>
    <t>1.355272051</t>
  </si>
  <si>
    <t>00020126740014br.gov.bcb.pix013686b26441-94eb-4523-9e8a-79120d007b940212000059487908520400005303986540530.835802BR5907TIM S A6009SAO PAULO62290525R0500005948790801071454436304A7D3</t>
  </si>
  <si>
    <t>008.549.232-92</t>
  </si>
  <si>
    <t>1.353335104</t>
  </si>
  <si>
    <t>00020126740014br.gov.bcb.pix013686b26441-94eb-4523-9e8a-79120d007b940212000059470696520400005303986540545.435802BR5907TIM S A6009SAO PAULO62290525R0500005947069630061413386304664A</t>
  </si>
  <si>
    <t>559.377.642-34</t>
  </si>
  <si>
    <t>1.352772466</t>
  </si>
  <si>
    <t>00020126740014br.gov.bcb.pix013686b26441-94eb-4523-9e8a-79120d007b940212000059467940520400005303986540522.875802BR5907TIM S A6009SAO PAULO62290525R050000594679403006114850630489BE</t>
  </si>
  <si>
    <t>321.407.382-68</t>
  </si>
  <si>
    <t>1.355062051</t>
  </si>
  <si>
    <t>00020126740014br.gov.bcb.pix013686b26441-94eb-4523-9e8a-79120d007b940212000059470424520400005303986540536.315802BR5907TIM S A6009SAO PAULO62290525R0500005947042430061403216304C92E</t>
  </si>
  <si>
    <t>00020126740014br.gov.bcb.pix013686b26441-94eb-4523-9e8a-79120d007b940212000054809774520400005303986540562.035802BR5907TIM S A6009SAO PAULO62290525R3600005480977430061221236304F6A1</t>
  </si>
  <si>
    <t>637.898.172-87</t>
  </si>
  <si>
    <t>1.355177319</t>
  </si>
  <si>
    <t>00020126740014br.gov.bcb.pix013686b26441-94eb-4523-9e8a-79120d007b940212000059470616520400005303986540532.555802BR5907TIM S A6009SAO PAULO62290525R050000594706163006141031630418C9</t>
  </si>
  <si>
    <t>599.776.042-15</t>
  </si>
  <si>
    <t>1.352693220</t>
  </si>
  <si>
    <t>00020126740014br.gov.bcb.pix013686b26441-94eb-4523-9e8a-79120d007b940212000059472812520400005303986540545.655802BR5907TIM S A6009SAO PAULO62290525R050000594728123006170507630480D4</t>
  </si>
  <si>
    <t>090.119.992-31</t>
  </si>
  <si>
    <t>1.354114483</t>
  </si>
  <si>
    <t xml:space="preserve"> 03/07/2026</t>
  </si>
  <si>
    <t>00020126740014br.gov.bcb.pix013686b26441-94eb-4523-9e8a-79120d007b940212000059471897520400005303986540535.005802BR5907TIM S A6009SAO PAULO62290525R05000059471897300615062063041DF2</t>
  </si>
  <si>
    <t>016.586.832-50</t>
  </si>
  <si>
    <t>1.354532485</t>
  </si>
  <si>
    <t>00020126740014br.gov.bcb.pix013686b26441-94eb-4523-9e8a-79120d007b940212000059468783520400005303986540530.415802BR5907TIM S A6009SAO PAULO62290525R0500005946878330061220266304220B</t>
  </si>
  <si>
    <t xml:space="preserve"> 06/07/2026</t>
  </si>
  <si>
    <t>00020126740014br.gov.bcb.pix013686b26441-94eb-4523-9e8a-79120d007b940212000059489425520400005303986540544.375802BR5907TIM S A6009SAO PAULO62290525R0500005948942501071612106304F4F4</t>
  </si>
  <si>
    <t>437.521.012-53</t>
  </si>
  <si>
    <t>1.353041171</t>
  </si>
  <si>
    <t>00020126740014br.gov.bcb.pix013686b26441-94eb-4523-9e8a-79120d007b940212000059468550520400005303986540533.445802BR5907TIM S A6009SAO PAULO62290525R05000059468550300612122163043B2B</t>
  </si>
  <si>
    <t>145.893.702-04</t>
  </si>
  <si>
    <t>1.354249235</t>
  </si>
  <si>
    <t xml:space="preserve">00020126740014br.gov.bcb.pix013686b26441-94eb-4523-9e8a-79120d007b940212000059510067520400005303986540533.425802BR5907TIM S A6009SAO PAULO62290525R0500005951006703071152066304B292
</t>
  </si>
  <si>
    <t>562.043.452-49</t>
  </si>
  <si>
    <t>1.354933866</t>
  </si>
  <si>
    <t>142.933.315-49</t>
  </si>
  <si>
    <t>1.354461547</t>
  </si>
  <si>
    <t>00020126740014br.gov.bcb.pix013686b26441-94eb-4523-9e8a-79120d007b940212000059497387520400005303986540533.495802BR5907TIM S A6009SAO PAULO62290525R0500005949738702071104146304E3A5</t>
  </si>
  <si>
    <t>019.409.235-65</t>
  </si>
  <si>
    <t>1.353980479</t>
  </si>
  <si>
    <t>00020126740014br.gov.bcb.pix013686b26441-94eb-4523-9e8a-79120d007b940212000059493334520400005303986540544.935802BR5907TIM S A6009SAO PAULO62290525R05000059493334020708010463044E33</t>
  </si>
  <si>
    <t>050.347.855-52</t>
  </si>
  <si>
    <t>1.352135848</t>
  </si>
  <si>
    <t>00020126740014br.gov.bcb.pix013686b26441-94eb-4523-9e8a-79120d007b940212000059508430520400005303986540534.685802BR5907TIM S A6009SAO PAULO62290525R0500005950843003071028106304B1C9</t>
  </si>
  <si>
    <t>572.594.295-34</t>
  </si>
  <si>
    <t>1.354453801</t>
  </si>
  <si>
    <t>00020126740014br.gov.bcb.pix013686b26441-94eb-4523-9e8a-79120d007b940212000059502303520400005303986540540.545802BR5907TIM S A6009SAO PAULO62290525R0500005950230302071555056304D1B2</t>
  </si>
  <si>
    <t>230.795.505-44</t>
  </si>
  <si>
    <t>1.352492234</t>
  </si>
  <si>
    <t>00020126740014br.gov.bcb.pix013686b26441-94eb-4523-9e8a-79120d007b940212000059487804520400005303986540539.615802BR5907TIM S A6009SAO PAULO62290525R05000059487804010714485863047889</t>
  </si>
  <si>
    <t>788.207.235-49</t>
  </si>
  <si>
    <t>1.352383826</t>
  </si>
  <si>
    <t>005.274.145-14</t>
  </si>
  <si>
    <t>1.354970154</t>
  </si>
  <si>
    <t>00020126740014br.gov.bcb.pix013686b26441-94eb-4523-9e8a-79120d007b940212000059508541520400005303986540527.815802BR5907TIM S A6009SAO PAULO62290525R0500005950854103071033366304852D</t>
  </si>
  <si>
    <t>1.354769204</t>
  </si>
  <si>
    <t>884.874.745-00</t>
  </si>
  <si>
    <t>1.353042028</t>
  </si>
  <si>
    <t>KETHYLLEN-</t>
  </si>
  <si>
    <t>00020126740014br.gov.bcb.pix013686b26441-94eb-4523-9e8a-79120d007b940212000059500738520400005303986540545.715802BR5907TIM S A6009SAO PAULO62290525R0500005950073802071416186304FC7F</t>
  </si>
  <si>
    <t>00020126740014br.gov.bcb.pix013686b26441-94eb-4523-9e8a-79120d007b940212000054810541520400005303986540597.035802BR5907TIM S A6009SAO PAULO62290525R36000054810541010714034063046537</t>
  </si>
  <si>
    <t>079.362.943-84</t>
  </si>
  <si>
    <t>1.353701494</t>
  </si>
  <si>
    <t>00020126740014br.gov.bcb.pix013686b26441-94eb-4523-9e8a-79120d007b940212000059495615520400005303986540533.455802BR5907TIM S A6009SAO PAULO62290525R050000594956150207093911630441BB</t>
  </si>
  <si>
    <t>055.545.183-62</t>
  </si>
  <si>
    <t>1.355207294</t>
  </si>
  <si>
    <t>026.764.216-46</t>
  </si>
  <si>
    <t>1.353721402</t>
  </si>
  <si>
    <t>00020126740014br.gov.bcb.pix013686b26441-94eb-4523-9e8a-79120d007b940212000059501213520400005303986540564.875802BR5907TIM S A6009SAO PAULO62290525R05000059501213020714452963046434</t>
  </si>
  <si>
    <t>129.716.816-02</t>
  </si>
  <si>
    <t>1.352505745</t>
  </si>
  <si>
    <t>601.268.416-91</t>
  </si>
  <si>
    <t>1.353853271</t>
  </si>
  <si>
    <t>00020126740014br.gov.bcb.pix013686b26441-94eb-4523-9e8a-79120d007b940212000059497546520400005303986540518.495802BR5907TIM S A6009SAO PAULO62290525R05000059497546020711122063041A84</t>
  </si>
  <si>
    <t>715.553.156-15</t>
  </si>
  <si>
    <t>1.354610490</t>
  </si>
  <si>
    <t>00020126740014br.gov.bcb.pix013686b26441-94eb-4523-9e8a-79120d007b940212000059502089520400005303986540543.855802BR5907TIM S A6009SAO PAULO62290525R0500005950208902071540056304FD69</t>
  </si>
  <si>
    <t>002.327.866-82</t>
  </si>
  <si>
    <t>1.355494335</t>
  </si>
  <si>
    <t>014.878.466-65</t>
  </si>
  <si>
    <t>1.355170036</t>
  </si>
  <si>
    <t>00020126740014br.gov.bcb.pix013686b26441-94eb-4523-9e8a-79120d007b940212000059502805520400005303986540532.565802BR5907TIM S A6009SAO PAULO62290525R05000059502805020716312463046194</t>
  </si>
  <si>
    <t>090.072.686-51</t>
  </si>
  <si>
    <t>1.354929798</t>
  </si>
  <si>
    <t>00020126740014br.gov.bcb.pix013686b26441-94eb-4523-9e8a-79120d007b940212000059502471520400005303986540538.585802BR5907TIM S A6009SAO PAULO62290525R05000059502471020716051163042190</t>
  </si>
  <si>
    <t>121.733.996-59</t>
  </si>
  <si>
    <t>1.352689049</t>
  </si>
  <si>
    <t>00020126740014br.gov.bcb.pix013686b26441-94eb-4523-9e8a-79120d007b940212000059473061520400005303986540545.665802BR5907TIM S A6009SAO PAULO62290525R05000059473061300615563963044DDC</t>
  </si>
  <si>
    <t>889.076.436-87</t>
  </si>
  <si>
    <t>1.354282497</t>
  </si>
  <si>
    <t>00020126740014br.gov.bcb.pix013686b26441-94eb-4523-9e8a-79120d007b940212000059533837520400005303986540511.315802BR5907TIM S A6009SAO PAULO62290525R05000059533837060711503063048366</t>
  </si>
  <si>
    <t>056.825.906-86</t>
  </si>
  <si>
    <t>1.353981539</t>
  </si>
  <si>
    <t xml:space="preserve">00020126740014br.gov.bcb.pix013686b26441-94eb-4523-9e8a-79120d007b940212000059551550520400005303986540530.435802BR5907TIM S A6009SAO PAULO62290525R05000059551550070711023163046BDF
</t>
  </si>
  <si>
    <t>039.519.336-23</t>
  </si>
  <si>
    <t>1.354291838</t>
  </si>
  <si>
    <t>00020126740014br.gov.bcb.pix013686b26441-94eb-4523-9e8a-79120d007b940212000059532727520400005303986540544.735802BR5907TIM S A6009SAO PAULO62290525R0500005953272706071102466304D29D</t>
  </si>
  <si>
    <t>080.383.446-26</t>
  </si>
  <si>
    <t>1.353447026</t>
  </si>
  <si>
    <t>00020126740014br.gov.bcb.pix013686b26441-94eb-4523-9e8a-79120d007b940212000059513656520400005303986540545.265802BR5907TIM S A6009SAO PAULO62290525R05000059513656030716013363044692</t>
  </si>
  <si>
    <t>418.373.986-15</t>
  </si>
  <si>
    <t>1.355281307</t>
  </si>
  <si>
    <t>00020126740014br.gov.bcb.pix013686b26441-94eb-4523-9e8a-79120d007b940212000059550832520400005303986540533.055802BR5907TIM S A6009SAO PAULO62290525R05000059550832070710371063045D7C</t>
  </si>
  <si>
    <t>957.523.156-20</t>
  </si>
  <si>
    <t>1.353142310</t>
  </si>
  <si>
    <t>00020126740014br.gov.bcb.pix013686b26441-94eb-4523-9e8a-79120d007b940212000059551451520400005303986540544.635802BR5907TIM S A6009SAO PAULO62290525R0500005955145107071059176304FE76</t>
  </si>
  <si>
    <t>00020126740014br.gov.bcb.pix013686b26441-94eb-4523-9e8a-79120d007b940212000059552780520400005303986540544.705802BR5907TIM S A6009SAO PAULO62290525R0500005955278007071144446304017A</t>
  </si>
  <si>
    <t>249.504.246-53</t>
  </si>
  <si>
    <t>1.352661274</t>
  </si>
  <si>
    <t>00020126740014br.gov.bcb.pix013686b26441-94eb-4523-9e8a-79120d007b940212000054812430520400005303986540560.185802BR5907TIM S A6009SAO PAULO62290525R36000054812430060711182263040DAD</t>
  </si>
  <si>
    <t>805.800.336-00</t>
  </si>
  <si>
    <t>1.352950387</t>
  </si>
  <si>
    <t>121.366.366-00</t>
  </si>
  <si>
    <t>1.352655419</t>
  </si>
  <si>
    <t>00020126740014br.gov.bcb.pix013686b26441-94eb-4523-9e8a-79120d007b940212000054812386520400005303986540535.695802BR5907TIM S A6009SAO PAULO62290525R360000548123860607104258630410A7</t>
  </si>
  <si>
    <t>100.639.046-40</t>
  </si>
  <si>
    <t>1.352774306</t>
  </si>
  <si>
    <t>00020126740014br.gov.bcb.pix013686b26441-94eb-4523-9e8a-79120d007b940212000054812466520400005303986540556.315802BR5907TIM S A6009SAO PAULO62290525R3600005481246606071150236304E35E</t>
  </si>
  <si>
    <t>344.687.066-00</t>
  </si>
  <si>
    <t>1.352689282</t>
  </si>
  <si>
    <t>00020126740014br.gov.bcb.pix013686b26441-94eb-4523-9e8a-79120d007b940212000059532936520400005303986540544.635802BR5907TIM S A6009SAO PAULO62290525R05000059532936060711121163049ECB</t>
  </si>
  <si>
    <t>1.354543211</t>
  </si>
  <si>
    <t xml:space="preserve">00020126740014br.gov.bcb.pix013686b26441-94eb-4523-9e8a-79120d007b940212300015629781520400005303986540547.885802BR5907TIM S A6009SAO PAULO62290525R0530001562978108071342586304B68E
</t>
  </si>
  <si>
    <t>111.876.766-75</t>
  </si>
  <si>
    <t>1.352952193</t>
  </si>
  <si>
    <t>00020126740014br.gov.bcb.pix013686b26441-94eb-4523-9e8a-79120d007b940212000059514613520400005303986540525.055802BR5907TIM S A6009SAO PAULO62290525R0500005951461303071656476304F33A</t>
  </si>
  <si>
    <t>030.429.466-73</t>
  </si>
  <si>
    <t>1.353312526</t>
  </si>
  <si>
    <t>00020126740014br.gov.bcb.pix013686b26441-94eb-4523-9e8a-79120d007b940212000059537117520400005303986540520.81580…</t>
  </si>
  <si>
    <t>752.899.206-25</t>
  </si>
  <si>
    <t>1.354212841</t>
  </si>
  <si>
    <t>032.331.773-13</t>
  </si>
  <si>
    <t>1.354932417</t>
  </si>
  <si>
    <t>00020126740014br.gov.bcb.pix013686b26441-94eb-4523-9e8a-79120d007b940212000059551262520400005303986540532.215802BR5907TIM S A6009SAO PAULO62290525R0500005955126207071053066304A7E1</t>
  </si>
  <si>
    <t>00020126740014br.gov.bcb.pix013686b26441-94eb-4523-9e8a-79120d007b940212000059553159520400005303986540544.425802BR5907TIM S A6009SAO PAULO62290525R0500005955315907071201276304A38B</t>
  </si>
  <si>
    <t>028.130.784-92</t>
  </si>
  <si>
    <t>1.352971314</t>
  </si>
  <si>
    <t>00020126740014br.gov.bcb.pix013686b26441-94eb-4523-9e8a-79120d007b940212000054812414520400005303986540525.395802BR5907TIM S A6009SAO PAULO62290525R36000054812414060711054263041B2C</t>
  </si>
  <si>
    <t>1.354667973</t>
  </si>
  <si>
    <t>00020126740014br.gov.bcb.pix013686b26441-94eb-4523-9e8a-79120d007b940212000059553547520400005303986540520.385802BR5907TIM S A6009SAO PAULO62290525R05000059553547070712163363040FFF</t>
  </si>
  <si>
    <t>127.829.114-81</t>
  </si>
  <si>
    <t>1.353510913</t>
  </si>
  <si>
    <t>00020126740014br.gov.bcb.pix013686b26441-94eb-4523-9e8a-79120d007b940212000059553686520400005303986540524.345802BR5907TIM S A6009SAO PAULO62290525R0500005955368607071222316304114F</t>
  </si>
  <si>
    <t>1.354054844</t>
  </si>
  <si>
    <t>143.158.664-15</t>
  </si>
  <si>
    <t>1.355215638</t>
  </si>
  <si>
    <t>1.354164820</t>
  </si>
  <si>
    <t>192.817.887-13</t>
  </si>
  <si>
    <t>1.355279021</t>
  </si>
  <si>
    <t>011.853.034-80</t>
  </si>
  <si>
    <t>1.353265136</t>
  </si>
  <si>
    <t>00020126740014br.gov.bcb.pix013686b26441-94eb-4523-9e8a-79120d007b940212000054812453520400005303986540524.845802BR5907TIM S A6009SAO PAULO62290525R360000548124530607113818630445D1</t>
  </si>
  <si>
    <t>047.371.133-87</t>
  </si>
  <si>
    <t>1.352333039</t>
  </si>
  <si>
    <t>00020126740014br.gov.bcb.pix013686b26441-94eb-4523-9e8a-79120d007b940212000059552802520400005303986540540.005802BR5907TIM S A6009SAO PAULO62290525R0500005955280207071145506304EEBF</t>
  </si>
  <si>
    <t>056.740.563-07</t>
  </si>
  <si>
    <t>1.353070564</t>
  </si>
  <si>
    <t>040.383.253-50</t>
  </si>
  <si>
    <t>1.352983297</t>
  </si>
  <si>
    <t>00020126740014br.gov.bcb.pix013686b26441-94eb-4523-9e8a-79120d007b940212000059514980520400005303986540540.925802BR5907TIM S A6009SAO PAULO62290525R0500005951498003071700206304F6C2</t>
  </si>
  <si>
    <t>808.601.253-00</t>
  </si>
  <si>
    <t>1.353641953</t>
  </si>
  <si>
    <t xml:space="preserve">00020126740014br.gov.bcb.pix013686b26441-94eb-4523-9e8a-79120d007b940212000059539984520400005303986540541.155802BR5907TIM S A6009SAO PAULO62290525R0500005953998406071710356304D9CD
</t>
  </si>
  <si>
    <t>453.968.683-68</t>
  </si>
  <si>
    <t>1.353428027</t>
  </si>
  <si>
    <t>085.594.407-20</t>
  </si>
  <si>
    <t>1.354071683</t>
  </si>
  <si>
    <t xml:space="preserve"> 10/07</t>
  </si>
  <si>
    <t>00020126740014br.gov.bcb.pix013686b26441-94eb-4523-9e8a-79120d007b940212000059536953520400005303986540567.225802BR5907TIM S A6009SAO PAULO62290525R05000059536953060714440163041E56</t>
  </si>
  <si>
    <t>1.355370460</t>
  </si>
  <si>
    <t>166.533.907-13</t>
  </si>
  <si>
    <t>1.355292053</t>
  </si>
  <si>
    <t>00020126740014br.gov.bcb.pix013686b26441-94eb-4523-9e8a-79120d007b940212000059593940520400005303986540533.065802BR5907TIM S A6009SAO PAULO62290525R0500005959394009071205106304F6EF</t>
  </si>
  <si>
    <t>238.318.202-87</t>
  </si>
  <si>
    <t>1.355317352</t>
  </si>
  <si>
    <t>00020126740014br.gov.bcb.pix013686b26441-94eb-4523-9e8a-79120d007b940212000059532463520400005303986540522.725802BR5907TIM S A6009SAO PAULO62290525R0500005953246306071051336304FBAB</t>
  </si>
  <si>
    <t>035.137.782-44</t>
  </si>
  <si>
    <t>1.352329779</t>
  </si>
  <si>
    <t xml:space="preserve"> 10/07/2026 </t>
  </si>
  <si>
    <t>00020126740014br.gov.bcb.pix013686b26441-94eb-4523-9e8a-79120d007b940212000054812616520400005303986540568.115802BR5907TIM S A6009SAO PAULO62290525R360000548126160607155719630429AB</t>
  </si>
  <si>
    <t>983.111.152-49</t>
  </si>
  <si>
    <t>1.353604079</t>
  </si>
  <si>
    <t>00020126740014br.gov.bcb.pix013686b26441-94eb-4523-9e8a-79120d007b940212000059592966520400005303986540553.465802BR5907TIM S A6009SAO PAULO62290525R0500005959296609071143016304F806</t>
  </si>
  <si>
    <t>1.352752451</t>
  </si>
  <si>
    <t>291.206.898-37</t>
  </si>
  <si>
    <t>1.354261336</t>
  </si>
  <si>
    <t>00020126740014br.gov.bcb.pix013686b26441-94eb-4523-9e8a-79120d007b940212000059532617520400005303986540533.455802BR5907TIM S A6009SAO PAULO62290525R050000595326170607105804630491E0</t>
  </si>
  <si>
    <t>314.537.832-53</t>
  </si>
  <si>
    <t>1.353497687</t>
  </si>
  <si>
    <t>00020126740014br.gov.bcb.pix013686b26441-94eb-4523-9e8a-79120d007b940212000059549859520400005303986540555.985802BR5907TIM S A6009SAO PAULO62290525R05000059549859070710021963040ABF</t>
  </si>
  <si>
    <t>965.739.022-20</t>
  </si>
  <si>
    <t>1.354984366</t>
  </si>
  <si>
    <t>00020126740014br.gov.bcb.pix013686b26441-94eb-4523-9e8a-79120d007b940212000059536260520400005303986540532.875802BR5907TIM S A6009SAO PAULO62290525R0500005953626006071408526304B1C4</t>
  </si>
  <si>
    <t>574.353.242-72</t>
  </si>
  <si>
    <t>1.354410240</t>
  </si>
  <si>
    <t>11/07/206</t>
  </si>
  <si>
    <t>00020126740014br.gov.bcb.pix013686b26441-94eb-4523-9e8a-79120d007b940212000059579255520400005303986540544.515802BR5907TIM S A6009SAO PAULO62290525R05000059579255080716125963047CD7</t>
  </si>
  <si>
    <t>00020126740014br.gov.bcb.pix013686b26441-94eb-4523-9e8a-79120d007b940212000059577683520400005303986540544.675802BR5907TIM S A6009SAO PAULO62290525R0500005957768308071531286304227B</t>
  </si>
  <si>
    <t>111.743.072-34</t>
  </si>
  <si>
    <t>1.354261248</t>
  </si>
  <si>
    <t>00020126740014br.gov.bcb.pix013686b26441-94eb-4523-9e8a-79120d007b940212000059572650520400005303986540544.805802BR5907TIM S A6009SAO PAULO62290525R05000059572650080712111963045CA2</t>
  </si>
  <si>
    <t>025.770.632-10</t>
  </si>
  <si>
    <t>1.354759580</t>
  </si>
  <si>
    <t>00020126740014br.gov.bcb.pix013686b26441-94eb-4523-9e8a-79120d007b940212000059555672520400005303986540541.625802BR5907TIM S A6009SAO PAULO62290525R0500005955567207071418266304F71B</t>
  </si>
  <si>
    <t>00020126740014br.gov.bcb.pix013686b26441-94eb-4523-9e8a-79120d007b940212000059592235520400005303986540544.475802BR5907TIM S A6009SAO PAULO62290525R0500005959223509071050316304A704</t>
  </si>
  <si>
    <t>820.020.372-72</t>
  </si>
  <si>
    <t>1.352345344</t>
  </si>
  <si>
    <t>00020126740014br.gov.bcb.pix013686b26441-94eb-4523-9e8a-79120d007b940212000054813147520400005303986540550.915802BR5907TIM S A6009SAO PAULO62290525R360000548131470707141125630438CA</t>
  </si>
  <si>
    <t>073.775.322-62</t>
  </si>
  <si>
    <t>1.355675111</t>
  </si>
  <si>
    <t>017.555.852-33</t>
  </si>
  <si>
    <t>1.353708169</t>
  </si>
  <si>
    <t>00020126740014br.gov.bcb.pix013686b26441-94eb-4523-9e8a-79120d007b940212000059591887520400005303986540544.575802BR5907TIM S A6009SAO PAULO62290525R05000059591887090710372063045CA0</t>
  </si>
  <si>
    <t>888.599.242-00</t>
  </si>
  <si>
    <t>1.353040007</t>
  </si>
  <si>
    <t>00020126740014br.gov.bcb.pix013686b26441-94eb-4523-9e8a-79120d007b940212000054813582520400005303986540578.005802BR5907TIM S A6009SAO PAULO62290525R36000054813582080710532063048A3C</t>
  </si>
  <si>
    <t>525.767.282-00</t>
  </si>
  <si>
    <t>1.352431901</t>
  </si>
  <si>
    <t>00020126740014br.gov.bcb.pix013686b26441-94eb-4523-9e8a-79120d007b940212000059569117520400005303986540545.695802BR5907TIM S A6009SAO PAULO62290525R0500005956911708070959556304705B</t>
  </si>
  <si>
    <t>078.796.805-60</t>
  </si>
  <si>
    <t>1.355686240</t>
  </si>
  <si>
    <t>00020126740014br.gov.bcb.pix013686b26441-94eb-4523-9e8a-79120d007b940212000054813174520400005303986540573.855802BR5907TIM S A6009SAO PAULO62290525R3600005481317407071448486304BE54</t>
  </si>
  <si>
    <t>316.664.775-91</t>
  </si>
  <si>
    <t>1.355577844</t>
  </si>
  <si>
    <t>1.353116494</t>
  </si>
  <si>
    <t>00020126740014br.gov.bcb.pix013686b26441-94eb-4523-9e8a-79120d007b940212000059575133520400005303986540545.595802BR5907TIM S A6009SAO PAULO62290525R05000059575133080714095063042409</t>
  </si>
  <si>
    <t>220.625.993-15</t>
  </si>
  <si>
    <t>1.354050874</t>
  </si>
  <si>
    <t xml:space="preserve">00020126740014br.gov.bcb.pix013686b26441-94eb-4523-9e8a-79120d007b940212000059558820520400005303986540532.865802BR5907TIM S A6009SAO PAULO62290525R0500005955882007071615166304C7C1
</t>
  </si>
  <si>
    <t>079.307.176-31</t>
  </si>
  <si>
    <t>1.353725767</t>
  </si>
  <si>
    <t>00020126740014br.gov.bcb.pix013686b26441-94eb-4523-9e8a-79120d007b940212000059653388520400005303986540549.595802BR5907TIM S A6009SAO PAULO62290525R050000596533881307163648630469FB</t>
  </si>
  <si>
    <t xml:space="preserve"> 13/07/2026</t>
  </si>
  <si>
    <t>00020126740014br.gov.bcb.pix013686b26441-94eb-4523-9e8a-79120d007b940212000054814257520400005303986540516.895802BR5907TIM S A6009SAO PAULO62290525R36000054814257090716460663043FDE</t>
  </si>
  <si>
    <t>638.365.726-72</t>
  </si>
  <si>
    <t>1.355493766</t>
  </si>
  <si>
    <t>104.801.366-96</t>
  </si>
  <si>
    <t>1.353116541</t>
  </si>
  <si>
    <t>00020126740014br.gov.bcb.pix013686b26441-94eb-4523-9e8a-79120d007b940212000059568942520400005303986540540.335802BR5907TIM S A6009SAO PAULO62290525R050000595689420807095243630471CF</t>
  </si>
  <si>
    <t>030.629.476-16</t>
  </si>
  <si>
    <t>1.354661812</t>
  </si>
  <si>
    <t>00020126740014br.gov.bcb.pix013686b26441-94eb-4523-9e8a-79120d007b940212000059612105520400005303986540543.915802BR5907TIM S A6009SAO PAULO62290525R05000059612105100715213263043383</t>
  </si>
  <si>
    <t>106.105.156-08</t>
  </si>
  <si>
    <t>1.353795953</t>
  </si>
  <si>
    <t>00020126740014br.gov.bcb.pix013686b26441-94eb-4523-9e8a-79120d007b940212000059557285520400005303986540544.635802BR5907TIM S A6009SAO PAULO62290525R050000595572850707152200630400E7</t>
  </si>
  <si>
    <t>432.129.726-53</t>
  </si>
  <si>
    <t>1.355053014</t>
  </si>
  <si>
    <t>00020126740014br.gov.bcb.pix013686b26441-94eb-4523-9e8a-79120d007b940212000059555477520400005303986540536.355802BR5907TIM S A6009SAO PAULO62290525R0500005955547707071410216304AAE2</t>
  </si>
  <si>
    <t>027.615.186-08</t>
  </si>
  <si>
    <t>1.355035365</t>
  </si>
  <si>
    <t>00020126740014br.gov.bcb.pix013686b26441-94eb-4523-9e8a-79120d007b940212000059647434520400005303986540536.375802BR5907TIM S A6009SAO PAULO62290525R0500005964743413071203446304051D</t>
  </si>
  <si>
    <t>026.186.876-47</t>
  </si>
  <si>
    <t>1.354453215</t>
  </si>
  <si>
    <t>00020126740014br.gov.bcb.pix013686b26441-94eb-4523-9e8a-79120d007b940212000059647281520400005303986540522.685802BR5907TIM S A6009SAO PAULO62290525R050000596472811307115757630457E3</t>
  </si>
  <si>
    <t>002.318.596-19</t>
  </si>
  <si>
    <t>1.355210869</t>
  </si>
  <si>
    <t>00020126740014br.gov.bcb.pix013686b26441-94eb-4523-9e8a-79120d007b940212000059557169520400005303986540533.885802BR5907TIM S A6009SAO PAULO62290525R050000595571690707151734630404A0</t>
  </si>
  <si>
    <t>00020126740014br.gov.bcb.pix013686b26441-94eb-4523-9e8a-79120d007b940212000059568810520400005303986540533.825802BR5907TIM S A6009SAO PAULO62290525R05000059568810080709471563043C4B</t>
  </si>
  <si>
    <t>078.745.756-60</t>
  </si>
  <si>
    <t>1.354795741</t>
  </si>
  <si>
    <t>00020126740014br.gov.bcb.pix013686b26441-94eb-4523-9e8a-79120d007b940212000059554847520400005303986540540.115802BR5907TIM S A6009SAO PAULO62290525R0500005955484707071347326304DED7</t>
  </si>
  <si>
    <t>073.294.926-20</t>
  </si>
  <si>
    <t>1.353174449</t>
  </si>
  <si>
    <t>00020126740014br.gov.bcb.pix013686b26441-94eb-4523-9e8a-79120d007b940212000054813228520400005303986540558.685802BR5907TIM S A6009SAO PAULO62290525R3600005481322807071600146304E156</t>
  </si>
  <si>
    <t>362.727.728-74</t>
  </si>
  <si>
    <t>1.355063443</t>
  </si>
  <si>
    <t>00020126740014br.gov.bcb.pix013686b26441-94eb-4523-9e8a-79120d007b940212000059577362520400005303986540531.675802BR5907TIM S A6009SAO PAULO62290525R0500005957736208071522266304C3AE</t>
  </si>
  <si>
    <t>00020126740014br.gov.bcb.pix013686b26441-94eb-4523-9e8a-79120d007b940212000059575814520400005303986540535.005802BR5907TIM S A6009SAO PAULO62290525R05000059575814080714290763045C3D</t>
  </si>
  <si>
    <t>00020126740014br.gov.bcb.pix013686b26441-94eb-4523-9e8a-79120d007b940212000059590502520400005303986540530.005802BR5907TIM S A6009SAO PAULO62290525R050000595905020907094054630417A6</t>
  </si>
  <si>
    <t>037.021.212-69</t>
  </si>
  <si>
    <t>1.355310233</t>
  </si>
  <si>
    <t>00020126740014br.gov.bcb.pix013686b26441-94eb-4523-9e8a-79120d007b940212000059591968520400005303986540530.005802BR5907TIM S A6009SAO PAULO62290525R050000595919680907104045630446B2</t>
  </si>
  <si>
    <t>010.330.242-52</t>
  </si>
  <si>
    <t>1.355586219</t>
  </si>
  <si>
    <t>107.471.844-53</t>
  </si>
  <si>
    <t>1.355374148</t>
  </si>
  <si>
    <t>00020126740014br.gov.bcb.pix013686b26441-94eb-4523-9e8a-79120d007b940212000054813597520400005303986540527.485802BR5907TIM S A6009SAO PAULO62290525R3600005481359708071117556304E0DD</t>
  </si>
  <si>
    <t>054.215.094-86</t>
  </si>
  <si>
    <t>1.353701752</t>
  </si>
  <si>
    <t>00020126740014br.gov.bcb.pix013686b26441-94eb-4523-9e8a-79120d007b940212000059575550520400005303986540530.005802BR5907TIM S A6009SAO PAULO62290525R0500005957555008071418286304BC3A</t>
  </si>
  <si>
    <t>060.672.073-11</t>
  </si>
  <si>
    <t>1.353274764</t>
  </si>
  <si>
    <t>228.056.052-68</t>
  </si>
  <si>
    <t>1.352975810</t>
  </si>
  <si>
    <t>00020126740014br.gov.bcb.pix013686b26441-94eb-4523-9e8a-79120d007b940212000054813714520400005303986540549.705802BR5907TIM S A6009SAO PAULO62290525R36000054813714080713391963048665</t>
  </si>
  <si>
    <t>703.497.703-87</t>
  </si>
  <si>
    <t>1.352981744</t>
  </si>
  <si>
    <t>00020126740014br.gov.bcb.pix013686b26441-94eb-4523-9e8a-79120d007b940212000059609203520400005303986540520.565802BR5907TIM S A6009SAO PAULO62290525R050000596092031007140545630406BA</t>
  </si>
  <si>
    <t>118.400.194-41</t>
  </si>
  <si>
    <t>1.355492560</t>
  </si>
  <si>
    <t>333.741.474-53</t>
  </si>
  <si>
    <t>1.354493985</t>
  </si>
  <si>
    <t>00020126740014br.gov.bcb.pix013686b26441-94eb-4523-9e8a-79120d007b940212000059579897520400005303986540522.355802BR5907TIM S A6009SAO PAULO62290525R0500005957989708071635106304B2F2</t>
  </si>
  <si>
    <t>732.708.904-78</t>
  </si>
  <si>
    <t>1.354893923</t>
  </si>
  <si>
    <t>00020126740014br.gov.bcb.pix013686b26441-94eb-4523-9e8a-79120d007b940212000059591715520400005303986540530.005802BR5907TIM S A6009SAO PAULO62290525R05000059591715090710295063048766</t>
  </si>
  <si>
    <t>194.816.237-77</t>
  </si>
  <si>
    <t>1.355501568</t>
  </si>
  <si>
    <t>064.139.367-97</t>
  </si>
  <si>
    <t>1.355014527</t>
  </si>
  <si>
    <t>00020126740014br.gov.bcb.pix013686b26441-94eb-4523-9e8a-79120d007b940212000059576644520400005303986540534.835802BR5907TIM S A6009SAO PAULO62290525R050000595766440807145837630426DE</t>
  </si>
  <si>
    <t>175.087.747-36</t>
  </si>
  <si>
    <t>1.352709929</t>
  </si>
  <si>
    <t>00020126740014br.gov.bcb.pix013686b26441-94eb-4523-9e8a-79120d007b940212000054813632520400005303986540525.565802BR5907TIM S A6009SAO PAULO62290525R36000054813632080711521963045164</t>
  </si>
  <si>
    <t>7.2192625.10</t>
  </si>
  <si>
    <t>15/04/2026</t>
  </si>
  <si>
    <t>00020126740014br.gov.bcb.pix013686b26441-94eb-4523-9e8a-79120d007b940212000059454662520400005303986540530.265802BR5907TIM S A6009SAO PAULO62290525R05000059454662290611544863041477</t>
  </si>
  <si>
    <t>36162497000191</t>
  </si>
  <si>
    <t>7.2186472.10</t>
  </si>
  <si>
    <t>00020126740014br.gov.bcb.pix013686b26441-94eb-4523-9e8a-79120d007b940212000054809359520400005303986540531.765802BR5907TIM S A6009SAO PAULO62290525R36000054809359290611563563040565</t>
  </si>
  <si>
    <t>00020126740014br.gov.bcb.pix013686b26441-94eb-4523-9e8a-79120d007b940212000054809362520400005303986540550.365802BR5907TIM S A6009SAO PAULO62290525R3600005480936229061157486304C3A1</t>
  </si>
  <si>
    <t>37083615000139</t>
  </si>
  <si>
    <t>7.1123050</t>
  </si>
  <si>
    <t>00020126740014br.gov.bcb.pix013686b26441-94eb-4523-9e8a-79120d007b9402120000594547825204000053039865406609.695802BR5907TIM S A6009SAO PAULO62290525R0500005945478229061158566304B9F0</t>
  </si>
  <si>
    <t>00020126740014br.gov.bcb.pix013686b26441-94eb-4523-9e8a-79120d007b940212000054809365520400005303986540535.125802BR5907TIM S A6009SAO PAULO62290525R3600005480936529061201126304DB2F</t>
  </si>
  <si>
    <t>31511431000146</t>
  </si>
  <si>
    <t>7.2175396</t>
  </si>
  <si>
    <t>00020126740014br.gov.bcb.pix013686b26441-94eb-4523-9e8a-79120d007b940212000054809366520400005303986540534.605802BR5907TIM S A6009SAO PAULO62290525R36000054809366290612025563043D54</t>
  </si>
  <si>
    <t>28542994000197</t>
  </si>
  <si>
    <t>7.2175545</t>
  </si>
  <si>
    <t>00020126740014br.gov.bcb.pix013686b26441-94eb-4523-9e8a-79120d007b940212000054809370520400005303986540527.045802BR5907TIM S A6009SAO PAULO62290525R360000548093702906120432630427EC</t>
  </si>
  <si>
    <t>05138050000153</t>
  </si>
  <si>
    <t>7.2174446</t>
  </si>
  <si>
    <t>00020126740014br.gov.bcb.pix013686b26441-94eb-4523-9e8a-79120d007b940212000054809373520400005303986540573.465802BR5907TIM S A6009SAO PAULO62290525R3600005480937329061206036304FC21</t>
  </si>
  <si>
    <t>27610110000121</t>
  </si>
  <si>
    <t>7.2174785</t>
  </si>
  <si>
    <t>00020126740014br.gov.bcb.pix013686b26441-94eb-4523-9e8a-79120d007b940212000054809377520400005303986540527.055802BR5907TIM S A6009SAO PAULO62290525R360000548093772906120735630417E5</t>
  </si>
  <si>
    <t>07/04/2026</t>
  </si>
  <si>
    <t>00020126740014br.gov.bcb.pix013686b26441-94eb-4523-9e8a-79120d007b940212000059470741520400005303986540527.455802BR5907TIM S A6009SAO PAULO62290525R05000059470741300614162763046F7F</t>
  </si>
  <si>
    <t>00020126740014br.gov.bcb.pix013686b26441-94eb-4523-9e8a-79120d007b940212000059470751520400005303986540570.825802BR5907TIM S A6009SAO PAULO62290525R0500005947075130061417226304A4B6</t>
  </si>
  <si>
    <t>60298873000154</t>
  </si>
  <si>
    <t>7.2175167</t>
  </si>
  <si>
    <t>00020126740014br.gov.bcb.pix013686b26441-94eb-4523-9e8a-79120d007b940212000059470800520400005303986540512.185802BR5907TIM S A6009SAO PAULO62290525R05000059470800300614185163043F93</t>
  </si>
  <si>
    <t>44286594000114</t>
  </si>
  <si>
    <t>7.2177879.10</t>
  </si>
  <si>
    <t>08224012000101</t>
  </si>
  <si>
    <t>7.2183463</t>
  </si>
  <si>
    <t>00020126740014br.gov.bcb.pix013686b26441-94eb-4523-9e8a-79120d007b940212000059470839520400005303986540516.125802BR5907TIM S A6009SAO PAULO62290525R0500005947083930061420566304E240</t>
  </si>
  <si>
    <t>55747599000113</t>
  </si>
  <si>
    <t>7.2175588.10</t>
  </si>
  <si>
    <t>00020126740014br.gov.bcb.pix013686b26441-94eb-4523-9e8a-79120d007b940212000059470873520400005303986540543.055802BR5907TIM S A6009SAO PAULO62290525R05000059470873300614214663046507</t>
  </si>
  <si>
    <t>00020126740014br.gov.bcb.pix013686b26441-94eb-4523-9e8a-79120d007b940212000059470896520400005303986540517.755802BR5907TIM S A6009SAO PAULO62290525R05000059470896300614224163045AAA</t>
  </si>
  <si>
    <t>00020126740014br.gov.bcb.pix013686b26441-94eb-4523-9e8a-79120d007b9402120000594709065204000053039865406114.035802BR5907TIM S A6009SAO PAULO62290525R05000059470906300614233963045EC6</t>
  </si>
  <si>
    <t>35610146000133</t>
  </si>
  <si>
    <t>7.2175728.10</t>
  </si>
  <si>
    <t>00020126740014br.gov.bcb.pix013686b26441-94eb-4523-9e8a-79120d007b940212000059470940520400005303986540512.125802BR5907TIM S A6009SAO PAULO62290525R0500005947094030061425276304FFC9</t>
  </si>
  <si>
    <t>26735949000123</t>
  </si>
  <si>
    <t>7.2028066.10</t>
  </si>
  <si>
    <t>00020126740014br.gov.bcb.pix013686b26441-94eb-4523-9e8a-79120d007b94021200005481100252040000530398654071467.125802BR5907TIM S A6009SAO PAULO62290525R36000054811002020710430163040EF8</t>
  </si>
  <si>
    <t>00020126740014br.gov.bcb.pix013686b26441-94eb-4523-9e8a-79120d007b9402120000548110045204000053039865406131.205802BR5907TIM S A6009SAO PAULO62290525R3600005481100402071044456304A6D2</t>
  </si>
  <si>
    <t>00020126740014br.gov.bcb.pix013686b26441-94eb-4523-9e8a-79120d007b9402120000548110055204000053039865406556.805802BR5907TIM S A6009SAO PAULO62290525R36000054811005020710460063041610</t>
  </si>
  <si>
    <t>28871366000155</t>
  </si>
  <si>
    <t>7.1720746</t>
  </si>
  <si>
    <t>47890068000157</t>
  </si>
  <si>
    <t>7.2210396.10</t>
  </si>
  <si>
    <t>19714040000123</t>
  </si>
  <si>
    <t>7.2210170.10</t>
  </si>
  <si>
    <t>12939713000102</t>
  </si>
  <si>
    <t>7.2210448</t>
  </si>
  <si>
    <t>60032983000170</t>
  </si>
  <si>
    <t>7.2210156</t>
  </si>
  <si>
    <t>60482306000153</t>
  </si>
  <si>
    <t>7.2209947</t>
  </si>
  <si>
    <t>60872669000103</t>
  </si>
  <si>
    <t>7.2209683</t>
  </si>
  <si>
    <t>52473388000141</t>
  </si>
  <si>
    <t>7.2209010</t>
  </si>
  <si>
    <t>48448175000192</t>
  </si>
  <si>
    <t>7.2208607</t>
  </si>
  <si>
    <t>10/04/2026</t>
  </si>
  <si>
    <t>49678353000134</t>
  </si>
  <si>
    <t>7.2208780</t>
  </si>
  <si>
    <t>22125455000176</t>
  </si>
  <si>
    <t>7.2209027</t>
  </si>
  <si>
    <t>55523735000191</t>
  </si>
  <si>
    <t>7.2208721</t>
  </si>
  <si>
    <t>62033933000132</t>
  </si>
  <si>
    <t>7.2209144.10</t>
  </si>
  <si>
    <t>59849330000107</t>
  </si>
  <si>
    <t>7.2208513</t>
  </si>
  <si>
    <t>62150846000165</t>
  </si>
  <si>
    <t>7.2208628.10</t>
  </si>
  <si>
    <t>25398200000175</t>
  </si>
  <si>
    <t>7.2208338.10</t>
  </si>
  <si>
    <t>30620062000167</t>
  </si>
  <si>
    <t>7.2208327.10</t>
  </si>
  <si>
    <t>56227179000179</t>
  </si>
  <si>
    <t>7.2207701.10</t>
  </si>
  <si>
    <t>63371967000108</t>
  </si>
  <si>
    <t>7.2208451.10</t>
  </si>
  <si>
    <t>-</t>
  </si>
  <si>
    <t>12162393000119</t>
  </si>
  <si>
    <t>7.2207569</t>
  </si>
  <si>
    <t>21502250000108</t>
  </si>
  <si>
    <t>7.2207427.10</t>
  </si>
  <si>
    <t>01287258000183</t>
  </si>
  <si>
    <t>7.2206873</t>
  </si>
  <si>
    <t>60531893000123</t>
  </si>
  <si>
    <t>7.2207524.10</t>
  </si>
  <si>
    <t>59918180000138</t>
  </si>
  <si>
    <t>7.2207396.10</t>
  </si>
  <si>
    <t>05797021000101</t>
  </si>
  <si>
    <t>7.2207607</t>
  </si>
  <si>
    <t>41905344000127</t>
  </si>
  <si>
    <t>7.2209743</t>
  </si>
  <si>
    <t>43001740000155</t>
  </si>
  <si>
    <t>7.2207414.10</t>
  </si>
  <si>
    <t>23354239000165</t>
  </si>
  <si>
    <t>7.2210013.10</t>
  </si>
  <si>
    <t>30661025000105</t>
  </si>
  <si>
    <t>7.2207944.10</t>
  </si>
  <si>
    <t>63793766000190</t>
  </si>
  <si>
    <t>7.2206916.10</t>
  </si>
  <si>
    <t>31759938000113</t>
  </si>
  <si>
    <t>7.2207644.10</t>
  </si>
  <si>
    <t>51553713000113</t>
  </si>
  <si>
    <t>7.2206228.10</t>
  </si>
  <si>
    <t>45334176000118</t>
  </si>
  <si>
    <t>7.2205787.10</t>
  </si>
  <si>
    <t>42857306000109</t>
  </si>
  <si>
    <t>7.2205778.10</t>
  </si>
  <si>
    <t>63209545000203</t>
  </si>
  <si>
    <t>7.2208530</t>
  </si>
  <si>
    <t>52339384000175</t>
  </si>
  <si>
    <t>7.2202802</t>
  </si>
  <si>
    <t>45034643000194</t>
  </si>
  <si>
    <t>7.2190991.10</t>
  </si>
  <si>
    <t>55471729000138</t>
  </si>
  <si>
    <t>7.2190584.10</t>
  </si>
  <si>
    <t>52657576000120</t>
  </si>
  <si>
    <t>7.2189491.10</t>
  </si>
  <si>
    <t>42563560000102</t>
  </si>
  <si>
    <t>7.2188440.10</t>
  </si>
  <si>
    <t>31286001000178</t>
  </si>
  <si>
    <t>7.2188460.10</t>
  </si>
  <si>
    <t>02636729000184</t>
  </si>
  <si>
    <t>7.1923707.10</t>
  </si>
  <si>
    <t>55447661000151</t>
  </si>
  <si>
    <t>7.2145414</t>
  </si>
  <si>
    <t>03987877000106</t>
  </si>
  <si>
    <t>7.2183796.10</t>
  </si>
  <si>
    <t>21664698000110</t>
  </si>
  <si>
    <t>7.2182757.10</t>
  </si>
  <si>
    <t>23398612000180</t>
  </si>
  <si>
    <t>7.2182472.10</t>
  </si>
  <si>
    <t>40106469000124</t>
  </si>
  <si>
    <t>7.2182060.10</t>
  </si>
  <si>
    <t>31122701000127</t>
  </si>
  <si>
    <t>7.2181349.10</t>
  </si>
  <si>
    <t>28088780000192</t>
  </si>
  <si>
    <t>7.2180922.10</t>
  </si>
  <si>
    <t>59794524000144</t>
  </si>
  <si>
    <t>7.2181102.10</t>
  </si>
  <si>
    <t>58895543000102</t>
  </si>
  <si>
    <t>7.2180776.10</t>
  </si>
  <si>
    <t>30706451000100</t>
  </si>
  <si>
    <t>7.2180355</t>
  </si>
  <si>
    <t>54235472000152</t>
  </si>
  <si>
    <t>7.2180410.10</t>
  </si>
  <si>
    <t>40803647000176</t>
  </si>
  <si>
    <t>7.2179912</t>
  </si>
  <si>
    <t>62718933000176</t>
  </si>
  <si>
    <t>7.2179629</t>
  </si>
  <si>
    <t>35846057000190</t>
  </si>
  <si>
    <t>7.2179715.10</t>
  </si>
  <si>
    <t>47118812000108</t>
  </si>
  <si>
    <t>7.2181029.10</t>
  </si>
  <si>
    <t>29697379000112</t>
  </si>
  <si>
    <t>7.2179993.10</t>
  </si>
  <si>
    <t>32993088000186</t>
  </si>
  <si>
    <t>7.2178862</t>
  </si>
  <si>
    <t>46511845000142</t>
  </si>
  <si>
    <t>7.2180327.10</t>
  </si>
  <si>
    <t>44626784000133</t>
  </si>
  <si>
    <t>7.2179682.10</t>
  </si>
  <si>
    <t>27808390000187</t>
  </si>
  <si>
    <t>7.2179773.10</t>
  </si>
  <si>
    <t>11944319000191</t>
  </si>
  <si>
    <t>7.2177391</t>
  </si>
  <si>
    <t>42619974000106</t>
  </si>
  <si>
    <t>7.2180946.10</t>
  </si>
  <si>
    <t>52462957000153</t>
  </si>
  <si>
    <t>7.2178343.10</t>
  </si>
  <si>
    <t>10539157000143</t>
  </si>
  <si>
    <t>7.2175562</t>
  </si>
  <si>
    <t>58726260000129</t>
  </si>
  <si>
    <t>7.2175953.10</t>
  </si>
  <si>
    <t>59473326000189</t>
  </si>
  <si>
    <t>7.2175961.10</t>
  </si>
  <si>
    <t>30452172000167</t>
  </si>
  <si>
    <t>7.2174927.10</t>
  </si>
  <si>
    <t>17259025000107</t>
  </si>
  <si>
    <t>7.2178035.10</t>
  </si>
  <si>
    <t>06253046000107</t>
  </si>
  <si>
    <t>6.882837.10.10.100000</t>
  </si>
  <si>
    <t>40972649000199</t>
  </si>
  <si>
    <t>7.2205173</t>
  </si>
  <si>
    <t>JULHO M9</t>
  </si>
  <si>
    <t>00020126740014br.gov.bcb.pix013686b26441-94eb-4523-9e8a-79120d007b940212000059514031520400005303986540525.495802BR5907TIM S A6009SAO PAULO62290525R050000595140310307161827630447AE</t>
  </si>
  <si>
    <t>47642177000155</t>
  </si>
  <si>
    <t>7.2205112</t>
  </si>
  <si>
    <t>00020126740014br.gov.bcb.pix013686b26441-94eb-4523-9e8a-79120d007b9402120000595140615204000053039865406196.305802BR5907TIM S A6009SAO PAULO62290525R050000595140610307161949630458D6</t>
  </si>
  <si>
    <t>00020126740014br.gov.bcb.pix013686b26441-94eb-4523-9e8a-79120d007b9402120000548118405204000053039865406177.715802BR5907TIM S A6009SAO PAULO62290525R360000548118400307162130630489FE</t>
  </si>
  <si>
    <t>00020126740014br.gov.bcb.pix013686b26441-94eb-4523-9e8a-79120d007b940212000054811842520400005303986540530.265802BR5907TIM S A6009SAO PAULO62290525R36000054811842030716224163040DA4</t>
  </si>
  <si>
    <t>61194497000110</t>
  </si>
  <si>
    <t>00020126740014br.gov.bcb.pix013686b26441-94eb-4523-9e8a-79120d007b940212000054811843520400005303986540530.435802BR5907TIM S A6009SAO PAULO62290525R3600005481184303071624226304CF1B</t>
  </si>
  <si>
    <t>63001789000115</t>
  </si>
  <si>
    <t>7.2196445.10</t>
  </si>
  <si>
    <t>00020126740014br.gov.bcb.pix013686b26441-94eb-4523-9e8a-79120d007b94021200005951418652040000530398654048.105802BR5907TIM S A6009SAO PAULO62290525R05000059514186030716253363049BF3</t>
  </si>
  <si>
    <t>22051498000154</t>
  </si>
  <si>
    <t>7.2195209.10</t>
  </si>
  <si>
    <t>00020126740014br.gov.bcb.pix013686b26441-94eb-4523-9e8a-79120d007b94021200005951423652040000530398654046.175802BR5907TIM S A6009SAO PAULO62290525R05000059514236030716265063042176</t>
  </si>
  <si>
    <t>00020126740014br.gov.bcb.pix013686b26441-94eb-4523-9e8a-79120d007b940212000054811846520400005303986540533.845802BR5907TIM S A6009SAO PAULO62290525R36000054811846030716275563049233</t>
  </si>
  <si>
    <t>00020126740014br.gov.bcb.pix013686b26441-94eb-4523-9e8a-79120d007b940212000054811849520400005303986540525.395802BR5907TIM S A6009SAO PAULO62290525R36000054811849030716291363043566</t>
  </si>
  <si>
    <t>37683486000110</t>
  </si>
  <si>
    <t>7.2175444.10</t>
  </si>
  <si>
    <t>00020126740014br.gov.bcb.pix013686b26441-94eb-4523-9e8a-79120d007b940212000059514321520400005303986540515.745802BR5907TIM S A6009SAO PAULO62290525R0500005951432103071630236304DE07</t>
  </si>
  <si>
    <t>58944803000184</t>
  </si>
  <si>
    <t>7.2205865.10</t>
  </si>
  <si>
    <t>42957534000150</t>
  </si>
  <si>
    <t>7.2181911</t>
  </si>
  <si>
    <t>20746183000104</t>
  </si>
  <si>
    <t>7.2207703.10</t>
  </si>
  <si>
    <t>05738454000188</t>
  </si>
  <si>
    <t>7.2208016</t>
  </si>
  <si>
    <t>26155047000118</t>
  </si>
  <si>
    <t>7.2207207.10</t>
  </si>
  <si>
    <t>37525780000101</t>
  </si>
  <si>
    <t>7.2206062.10</t>
  </si>
  <si>
    <t>04977532000134</t>
  </si>
  <si>
    <t>7.2205498</t>
  </si>
  <si>
    <t>00020126740014br.gov.bcb.pix013686b26441-94eb-4523-9e8a-79120d007b940212000059540745520400005303986540514.175802BR5907TIM S A6009SAO PAULO62290525R0500005954074506071752266304EF49</t>
  </si>
  <si>
    <t>08113039000127</t>
  </si>
  <si>
    <t>7.2205132</t>
  </si>
  <si>
    <t>00020126740014br.gov.bcb.pix013686b26441-94eb-4523-9e8a-79120d007b940212000059540779520400005303986540528.135802BR5907TIM S A6009SAO PAULO62290525R0500005954077906071753376304C05A</t>
  </si>
  <si>
    <t>37183782000151</t>
  </si>
  <si>
    <t>7.2204466</t>
  </si>
  <si>
    <t>00020126740014br.gov.bcb.pix013686b26441-94eb-4523-9e8a-79120d007b940212000059540821520400005303986540528.655802BR5907TIM S A6009SAO PAULO62290525R0500005954082106071754546304C077</t>
  </si>
  <si>
    <t>42390168000109</t>
  </si>
  <si>
    <t>7.2204968</t>
  </si>
  <si>
    <t>00020126740014br.gov.bcb.pix013686b26441-94eb-4523-9e8a-79120d007b940212000059540853520400005303986540514.345802BR5907TIM S A6009SAO PAULO62290525R0500005954085306071756556304EAC5</t>
  </si>
  <si>
    <t>20303557000109</t>
  </si>
  <si>
    <t>7.2203557</t>
  </si>
  <si>
    <t>00020126740014br.gov.bcb.pix013686b26441-94eb-4523-9e8a-79120d007b940212000059540883520400005303986540529.835802BR5907TIM S A6009SAO PAULO62290525R05000059540883060717583663044210</t>
  </si>
  <si>
    <t>22279407000132</t>
  </si>
  <si>
    <t>7.2201386</t>
  </si>
  <si>
    <t>00020126740014br.gov.bcb.pix013686b26441-94eb-4523-9e8a-79120d007b940212000059540895520400005303986540517.595802BR5907TIM S A6009SAO PAULO62290525R050000595408950607175922630462F8</t>
  </si>
  <si>
    <t>46147108000102</t>
  </si>
  <si>
    <t>7.2201151</t>
  </si>
  <si>
    <t>00020126740014br.gov.bcb.pix013686b26441-94eb-4523-9e8a-79120d007b94021200005954090452040000530398654047.485802BR5907TIM S A6009SAO PAULO62290525R050000595409040607180027630444CC</t>
  </si>
  <si>
    <t>28335820002288</t>
  </si>
  <si>
    <t>7.2202634</t>
  </si>
  <si>
    <t>00020126740014br.gov.bcb.pix013686b26441-94eb-4523-9e8a-79120d007b940212000059540915520400005303986540529.685802BR5907TIM S A6009SAO PAULO62290525R0500005954091506071801186304574E</t>
  </si>
  <si>
    <t>28335820002873</t>
  </si>
  <si>
    <t>7.2202478</t>
  </si>
  <si>
    <t>00020126740014br.gov.bcb.pix013686b26441-94eb-4523-9e8a-79120d007b940212000059540930520400005303986540515.165802BR5907TIM S A6009SAO PAULO62290525R0500005954093006071802066304452E</t>
  </si>
  <si>
    <t>00077961000102</t>
  </si>
  <si>
    <t>7.2201259</t>
  </si>
  <si>
    <t>00020126740014br.gov.bcb.pix013686b26441-94eb-4523-9e8a-79120d007b940212000059540953520400005303986540521.085802BR5907TIM S A6009SAO PAULO62290525R0500005954095306071802566304E17E</t>
  </si>
  <si>
    <t>35680416000182</t>
  </si>
  <si>
    <t>7.2201263</t>
  </si>
  <si>
    <t>00020126740014br.gov.bcb.pix013686b26441-94eb-4523-9e8a-79120d007b940212000059568635520400005303986540515.585802BR5907TIM S A6009SAO PAULO62290525R05000059568635080709392463046F01</t>
  </si>
  <si>
    <t>54984324000130</t>
  </si>
  <si>
    <t>7.2146969</t>
  </si>
  <si>
    <t>00020126740014br.gov.bcb.pix013686b26441-94eb-4523-9e8a-79120d007b9402120000548135215204000053039865406202.175802BR5907TIM S A6009SAO PAULO62290525R360000548135210807094301630497CA</t>
  </si>
  <si>
    <t>00020126740014br.gov.bcb.pix013686b26441-94eb-4523-9e8a-79120d007b940212000054813523520400005303986540517.335802BR5907TIM S A6009SAO PAULO62290525R360000548135230807094650630485C7</t>
  </si>
  <si>
    <t>00020126740014br.gov.bcb.pix013686b26441-94eb-4523-9e8a-79120d007b940212000054813525520400005303986540528.495802BR5907TIM S A6009SAO PAULO62290525R36000054813525080709484163040093</t>
  </si>
  <si>
    <t>28335820001800</t>
  </si>
  <si>
    <t>7.2198133</t>
  </si>
  <si>
    <t>00020126740014br.gov.bcb.pix013686b26441-94eb-4523-9e8a-79120d007b940212000059569096520400005303986540515.155802BR5907TIM S A6009SAO PAULO62290525R0500005956909608070958466304542E</t>
  </si>
  <si>
    <t>00020126740014br.gov.bcb.pix013686b26441-94eb-4523-9e8a-79120d007b940212000054813538520400005303986540527.155802BR5907TIM S A6009SAO PAULO62290525R3600005481353808071001016304471C</t>
  </si>
  <si>
    <t>28335820001478</t>
  </si>
  <si>
    <t>7.2198630</t>
  </si>
  <si>
    <t>00020126740014br.gov.bcb.pix013686b26441-94eb-4523-9e8a-79120d007b940212000059569153520400005303986540514.975802BR5907TIM S A6009SAO PAULO62290525R050000595691530807100156630474CC</t>
  </si>
  <si>
    <t>00020126740014br.gov.bcb.pix013686b26441-94eb-4523-9e8a-79120d007b940212000054813540520400005303986540517.165802BR5907TIM S A6009SAO PAULO62290525R36000054813540080710031363041E17</t>
  </si>
  <si>
    <t>00020126740014br.gov.bcb.pix013686b26441-94eb-4523-9e8a-79120d007b940212000054813543520400005303986540516.545802BR5907TIM S A6009SAO PAULO62290525R3600005481354308071005346304AC01</t>
  </si>
  <si>
    <t>00020126740014br.gov.bcb.pix013686b26441-94eb-4523-9e8a-79120d007b940212000054813544520400005303986540527.155802BR5907TIM S A6009SAO PAULO62290525R36000054813544080710064163046F3D</t>
  </si>
  <si>
    <t>28335820001710</t>
  </si>
  <si>
    <t>7.2198640</t>
  </si>
  <si>
    <t>00020126740014br.gov.bcb.pix013686b26441-94eb-4523-9e8a-79120d007b940212000059598212520400005303986540515.185802BR5907TIM S A6009SAO PAULO62290525R0500005959821209071550106304BC1B</t>
  </si>
  <si>
    <t>00020126740014br.gov.bcb.pix013686b26441-94eb-4523-9e8a-79120d007b940212000054814218520400005303986540527.165802BR5907TIM S A6009SAO PAULO62290525R36000054814218090715524663047673</t>
  </si>
  <si>
    <t>00020126740014br.gov.bcb.pix013686b26441-94eb-4523-9e8a-79120d007b940212000054814220520400005303986540550.875802BR5907TIM S A6009SAO PAULO62290525R3600005481422009071554156304A76A</t>
  </si>
  <si>
    <t>27342925000177</t>
  </si>
  <si>
    <t>7.2198320</t>
  </si>
  <si>
    <t>00020126740014br.gov.bcb.pix013686b26441-94eb-4523-9e8a-79120d007b940212000059598318520400005303986540529.185802BR5907TIM S A6009SAO PAULO62290525R05000059598318090715551063046856</t>
  </si>
  <si>
    <t>40934656000104</t>
  </si>
  <si>
    <t>7.2198050.10</t>
  </si>
  <si>
    <t>26254703000130</t>
  </si>
  <si>
    <t>7.2199853</t>
  </si>
  <si>
    <t>00020126740014br.gov.bcb.pix013686b26441-94eb-4523-9e8a-79120d007b940212000059598343520400005303986540515.085802BR5907TIM S A6009SAO PAULO62290525R050000595983430907155702630464AF</t>
  </si>
  <si>
    <t>00020126740014br.gov.bcb.pix013686b26441-94eb-4523-9e8a-79120d007b9402120000548142215204000053039865406143.985802BR5907TIM S A6009SAO PAULO62290525R36000054814221090715580663043E90</t>
  </si>
  <si>
    <t>49619136000173</t>
  </si>
  <si>
    <t>00020126740014br.gov.bcb.pix013686b26441-94eb-4523-9e8a-79120d007b940212000059598389520400005303986540516.105802BR5907TIM S A6009SAO PAULO62290525R0500005959838909071559046304BF1C</t>
  </si>
  <si>
    <t>00020126740014br.gov.bcb.pix013686b26441-94eb-4523-9e8a-79120d007b940212000054814223520400005303986540514.135802BR5907TIM S A6009SAO PAULO62290525R360000548142230907160026630480BE</t>
  </si>
  <si>
    <t>00020126740014br.gov.bcb.pix013686b26441-94eb-4523-9e8a-79120d007b940212000054814224520400005303986540528.245802BR5907TIM S A6009SAO PAULO62290525R360000548142240907160144630426E5</t>
  </si>
  <si>
    <t>530.425.302-72</t>
  </si>
  <si>
    <t>1.354287047</t>
  </si>
  <si>
    <t>12/06/2026</t>
  </si>
  <si>
    <t>703.239.042-03</t>
  </si>
  <si>
    <t>1.354942960</t>
  </si>
  <si>
    <t>15/06/2026</t>
  </si>
  <si>
    <t>00020126740014br.gov.bcb.pix013686b26441-94eb-4523-9e8a-79120d007b940212000059609025520400005303986540538.515802BR5907TIM S A6009SAO PAULO62290525R0500005960902510071158246304902B</t>
  </si>
  <si>
    <t>138.512.682-53</t>
  </si>
  <si>
    <t>1.352945324</t>
  </si>
  <si>
    <t>00020126740014br.gov.bcb.pix013686b26441-94eb-4523-9e8a-79120d007b940212000059610865520400005303986540545.645802BR5907TIM S A6009SAO PAULO62290525R050000596108651007140018630467ED</t>
  </si>
  <si>
    <t>239.758.062-49</t>
  </si>
  <si>
    <t>1.355183964</t>
  </si>
  <si>
    <t>00020126740014br.gov.bcb.pix013686b26441-94eb-4523-9e8a-79120d007b940212000059607806520400005303986540544.475802BR5907TIM S A6009SAO PAULO62290525R05000059607806100710525763042C01</t>
  </si>
  <si>
    <t>626.368.982-04</t>
  </si>
  <si>
    <t>1.354930047</t>
  </si>
  <si>
    <t>00020126740014br.gov.bcb.pix013686b26441-94eb-4523-9e8a-79120d007b940212000059652579520400005303986540525.495802BR5907TIM S A6009SAO PAULO62290525R050000596525791307150958630404F3</t>
  </si>
  <si>
    <t>908.459.782-68</t>
  </si>
  <si>
    <t>1.355188349</t>
  </si>
  <si>
    <t>00020126740014br.gov.bcb.pix013686b26441-94eb-4523-9e8a-79120d007b940212000059608625520400005303986540527.815802BR5907TIM S A6009SAO PAULO62290525R05000059608625100711343663048A61</t>
  </si>
  <si>
    <t>00020126740014br.gov.bcb.pix013686b26441-94eb-4523-9e8a-79120d007b940212000059596355520400005303986540544.715802BR5907TIM S A6009SAO PAULO62290525R050000595963550907141743630492C6</t>
  </si>
  <si>
    <t>052.171.152-54</t>
  </si>
  <si>
    <t>1.353067834</t>
  </si>
  <si>
    <t>00020126740014br.gov.bcb.pix013686b26441-94eb-4523-9e8a-79120d007b940212000054814155520400005303986540555.815802BR5907TIM S A6009SAO PAULO62290525R360000548141550907135854630445FA</t>
  </si>
  <si>
    <t>140.611.122-87</t>
  </si>
  <si>
    <t>1.352697100</t>
  </si>
  <si>
    <t>00020126740014br.gov.bcb.pix013686b26441-94eb-4523-9e8a-79120d007b940212000054814068520400005303986540558.505802BR5907TIM S A6009SAO PAULO62290525R36000054814068090711583463049E77</t>
  </si>
  <si>
    <t>00020126740014br.gov.bcb.pix013686b26441-94eb-4523-9e8a-79120d007b940212000059647884520400005303986540544.715802BR5907TIM S A6009SAO PAULO62290525R05000059647884130712185463042331</t>
  </si>
  <si>
    <t>016.440.672-77</t>
  </si>
  <si>
    <t>1.353460639</t>
  </si>
  <si>
    <t>00020126740014br.gov.bcb.pix013686b26441-94eb-4523-9e8a-79120d007b940212000054814079520400005303986540550.925802BR5907TIM S A6009SAO PAULO62290525R36000054814079090712182663049C35</t>
  </si>
  <si>
    <t>00020126740014br.gov.bcb.pix013686b26441-94eb-4523-9e8a-79120d007b940212000059608238520400005303986540544.815802BR5907TIM S A6009SAO PAULO62290525R050000596082381007111226630447DD</t>
  </si>
  <si>
    <t>412.343.672-20</t>
  </si>
  <si>
    <t>1.354074811</t>
  </si>
  <si>
    <t>KATHYLLEN</t>
  </si>
  <si>
    <t>00020126740014br.gov.bcb.pix013686b26441-94eb-4523-9e8a-79120d007b940212000059599294520400005303986540522.305802BR5907TIM S A6009SAO PAULO62290525R05000059599294090716562563047433</t>
  </si>
  <si>
    <t>012.192.052-65</t>
  </si>
  <si>
    <t>1.352504964</t>
  </si>
  <si>
    <t>00020126740014br.gov.bcb.pix013686b26441-94eb-4523-9e8a-79120d007b940212000054814110520400005303986540556.605802BR5907TIM S A6009SAO PAULO62290525R3600005481411009071259166304E220</t>
  </si>
  <si>
    <t>008.237.442-21</t>
  </si>
  <si>
    <t>1.354557878</t>
  </si>
  <si>
    <t>00020126740014br.gov.bcb.pix013686b26441-94eb-4523-9e8a-79120d007b940212000059612056520400005303986540544.755802BR5907TIM S A6009SAO PAULO62290525R0500005961205610071500436304D6A8</t>
  </si>
  <si>
    <t>337.441.812-00</t>
  </si>
  <si>
    <t>1.353427809</t>
  </si>
  <si>
    <t>00020126740014br.gov.bcb.pix013686b26441-94eb-4523-9e8a-79120d007b940212000059650805520400005303986540541.375802BR5907TIM S A6009SAO PAULO62290525R05000059650805130714105663041E70</t>
  </si>
  <si>
    <t>00020126740014br.gov.bcb.pix013686b26441-94eb-4523-9e8a-79120d007b940212190018717555520400005303986540552.625802BR5907TIM S A6009SAO PAULO62290525R051900187175550907130608630458BC</t>
  </si>
  <si>
    <t>009.085.852-25</t>
  </si>
  <si>
    <t>1.353917419</t>
  </si>
  <si>
    <t>00020126740014br.gov.bcb.pix013686b26441-94eb-4523-9e8a-79120d007b940212000059651351520400005303986540545.115802BR5907TIM S A6009SAO PAULO62290525R0500005965135113071430066304ACB1</t>
  </si>
  <si>
    <t>444.575.102-20</t>
  </si>
  <si>
    <t>1.352487077</t>
  </si>
  <si>
    <t>00020126740014br.gov.bcb.pix013686b26441-94eb-4523-9e8a-79120d007b940212000059607389520400005303986540545.285802BR5907TIM S A6009SAO PAULO62290525R05000059607389100710403263042039</t>
  </si>
  <si>
    <t>050.969.772-00</t>
  </si>
  <si>
    <t>1.354184919</t>
  </si>
  <si>
    <t>00020126740014br.gov.bcb.pix013686b26441-94eb-4523-9e8a-79120d007b940212000059597226520400005303986540530.005802BR5907TIM S A6009SAO PAULO62290525R0500005959722609071500266304D45A</t>
  </si>
  <si>
    <t>00020126740014br.gov.bcb.pix013686b26441-94eb-4523-9e8a-79120d007b940212000054814144520400005303986540548.935802BR5907TIM S A6009SAO PAULO62290525R36000054814144090713362163045728</t>
  </si>
  <si>
    <t>019.691.014-58</t>
  </si>
  <si>
    <t>1.353542059</t>
  </si>
  <si>
    <t>020.895.962-95</t>
  </si>
  <si>
    <t>1.355625851</t>
  </si>
  <si>
    <t>10/07/2026</t>
  </si>
  <si>
    <t>054.796.963-51</t>
  </si>
  <si>
    <t>1.352801203</t>
  </si>
  <si>
    <t>00020126740014br.gov.bcb.pix013686b26441-94eb-4523-9e8a-79120d007b940212000059596196520400005303986540554.185802BR5907TIM S A6009SAO PAULO62290525R0500005959619609071410136304BC8D</t>
  </si>
  <si>
    <t>005.468.172-38</t>
  </si>
  <si>
    <t>1.353463533</t>
  </si>
  <si>
    <t>00020126740014br.gov.bcb.pix013686b26441-94eb-4523-9e8a-79120d007b940212000054814145520400005303986540559.505802BR5907TIM S A6009SAO PAULO62290525R3600005481414509071341306304A235</t>
  </si>
  <si>
    <t>790.285.192-20</t>
  </si>
  <si>
    <t>1.353431117</t>
  </si>
  <si>
    <t xml:space="preserve"> 14/07/2026</t>
  </si>
  <si>
    <t>00020126740014br.gov.bcb.pix013686b26441-94eb-4523-9e8a-79120d007b940212000059595666520400005303986540545.505802BR5907TIM S A6009SAO PAULO62290525R0500005959566609071346396304FBB1</t>
  </si>
  <si>
    <t>180.999.122-68</t>
  </si>
  <si>
    <t>1.353104925</t>
  </si>
  <si>
    <t>284.642.812-34</t>
  </si>
  <si>
    <t>1.352325746</t>
  </si>
  <si>
    <t>00020126740014br.gov.bcb.pix013686b26441-94eb-4523-9e8a-79120d007b940212000059596373520400005303986540541.115802BR5907TIM S A6009SAO PAULO62290525R05000059596373090714191563042B0A</t>
  </si>
  <si>
    <t>357.618.142-34</t>
  </si>
  <si>
    <t>1.354082625</t>
  </si>
  <si>
    <t>00020126740014br.gov.bcb.pix013686b26441-94eb-4523-9e8a-79120d007b940212000059596954520400005303986540530.005802BR5907TIM S A6009SAO PAULO62290525R05000059596954090714472063041936</t>
  </si>
  <si>
    <t>666.530.882-00</t>
  </si>
  <si>
    <t>1.353176658</t>
  </si>
  <si>
    <t>00020126740014br.gov.bcb.pix013686b26441-94eb-4523-9e8a-79120d007b940212000059597092520400005303986540530.005802BR5907TIM S A6009SAO PAULO62290525R0500005959709209071454586304A0A9</t>
  </si>
  <si>
    <t>029.277.252-17</t>
  </si>
  <si>
    <t>1.354755367</t>
  </si>
  <si>
    <t>v</t>
  </si>
  <si>
    <t>010.145.962-97</t>
  </si>
  <si>
    <t>1.355465064</t>
  </si>
  <si>
    <t>00020126740014br.gov.bcb.pix013686b26441-94eb-4523-9e8a-79120d007b940212000059598411520400005303986540534.705802BR5907TIM S A6009SAO PAULO62290525R050000595984110907160017630434DE</t>
  </si>
  <si>
    <t>00020126740014br.gov.bcb.pix013686b26441-94eb-4523-9e8a-79120d007b940212000059599055520400005303986540544.635802BR5907TIM S A6009SAO PAULO62290525R05000059599055090716393463040936</t>
  </si>
  <si>
    <t>942.634.342-34</t>
  </si>
  <si>
    <t>1.353139331</t>
  </si>
  <si>
    <t>00020126740014br.gov.bcb.pix013686b26441-94eb-4523-9e8a-79120d007b940212000054814113520400005303986540547.275802BR5907TIM S A6009SAO PAULO62290525R3600005481411309071302396304E827</t>
  </si>
  <si>
    <t>885.832.872-87</t>
  </si>
  <si>
    <t>1.354663518</t>
  </si>
  <si>
    <t>00020126740014br.gov.bcb.pix013686b26441-94eb-4523-9e8a-79120d007b940212000059608309520400005303986540528.965802BR5907TIM S A6009SAO PAULO62290525R0500005960830910071117196304143C</t>
  </si>
  <si>
    <t>868.114.102-30</t>
  </si>
  <si>
    <t>1.352568580</t>
  </si>
  <si>
    <t>00020126740014br.gov.bcb.pix013686b26441-94eb-4523-9e8a-79120d007b940212000054814125520400005303986540576.925802BR5907TIM S A6009SAO PAULO62290525R3600005481412509071316036304E1C3</t>
  </si>
  <si>
    <t>769.112.842-87</t>
  </si>
  <si>
    <t>1.354411218</t>
  </si>
  <si>
    <t>00020126740014br.gov.bcb.pix013686b26441-94eb-4523-9e8a-79120d007b940212000059597002520400005303986540530.005802BR5907TIM S A6009SAO PAULO62290525R0500005959700209071450476304A0B4</t>
  </si>
  <si>
    <t>018.017.602-17</t>
  </si>
  <si>
    <t>1.352605510</t>
  </si>
  <si>
    <t>00020126740014br.gov.bcb.pix013686b26441-94eb-4523-9e8a-79120d007b940212000054816827520400005303986540586.165802BR5907TIM S A6009SAO PAULO62290525R36000054816827150712181263043C80</t>
  </si>
  <si>
    <t>233.633.802-59</t>
  </si>
  <si>
    <t>1.355833973</t>
  </si>
  <si>
    <t>044.275.092-74</t>
  </si>
  <si>
    <t>1.354938878</t>
  </si>
  <si>
    <t>00020126740014br.gov.bcb.pix013686b26441-94eb-4523-9e8a-79120d007b940212000059687357520400005303986540521.585802BR5907TIM S A6009SAO PAULO62290525R0500005968735715071156306304C7E6</t>
  </si>
  <si>
    <t>765.833.255-00</t>
  </si>
  <si>
    <t>1.355945606</t>
  </si>
  <si>
    <t>668.735.765-49</t>
  </si>
  <si>
    <t>1.355791869</t>
  </si>
  <si>
    <t>431.045.505-06</t>
  </si>
  <si>
    <t>1.355584579</t>
  </si>
  <si>
    <t>13/07/2026</t>
  </si>
  <si>
    <t>00020126740014br.gov.bcb.pix013686b26441-94eb-4523-9e8a-79120d007b940212000059607460520400005303986540530.305802BR5907TIM S A6009SAO PAULO62290525R0500005960746010071035326304F901</t>
  </si>
  <si>
    <t>1.355996143</t>
  </si>
  <si>
    <t>898.397.815-53</t>
  </si>
  <si>
    <t>1.354297467</t>
  </si>
  <si>
    <t>00020126740014br.gov.bcb.pix013686b26441-94eb-4523-9e8a-79120d007b940212000059595006520400005303986540544.305802BR5907TIM S A6009SAO PAULO62290525R05000059595006090713171163043398</t>
  </si>
  <si>
    <t>857.960.155-08</t>
  </si>
  <si>
    <t>1.354664432</t>
  </si>
  <si>
    <t>00020126740014br.gov.bcb.pix013686b26441-94eb-4523-9e8a-79120d007b940212000059645726520400005303986540552.765802BR5907TIM S A6009SAO PAULO62290525R050000596457261307110940630429C2</t>
  </si>
  <si>
    <t>788.208.475-15</t>
  </si>
  <si>
    <t>1.354324255</t>
  </si>
  <si>
    <t>00020126740014br.gov.bcb.pix013686b26441-94eb-4523-9e8a-79120d007b940212000059651003520400005303986540544.605802BR5907TIM S A6009SAO PAULO62290525R05000059651003130714164963046F32</t>
  </si>
  <si>
    <t>045.978.975-93</t>
  </si>
  <si>
    <t>1.354046742</t>
  </si>
  <si>
    <t>00020126740014br.gov.bcb.pix013686b26441-94eb-4523-9e8a-79120d007b940212000059610720520400005303986540530.005802BR5907TIM S A6009SAO PAULO62290525R05000059610720100713530463041F82</t>
  </si>
  <si>
    <t>006.349.065-00</t>
  </si>
  <si>
    <t>1.355226603</t>
  </si>
  <si>
    <t>00020126740014br.gov.bcb.pix013686b26441-94eb-4523-9e8a-79120d007b940212000059644582520400005303986540533.045802BR5907TIM S A6009SAO PAULO62290525R0500005964458213071037036304576B</t>
  </si>
  <si>
    <t>050.480.075-22</t>
  </si>
  <si>
    <t>1.355628286</t>
  </si>
  <si>
    <t>363.863.325-04</t>
  </si>
  <si>
    <t>1.354851823</t>
  </si>
  <si>
    <t>391.913.113-49</t>
  </si>
  <si>
    <t>1.353005685</t>
  </si>
  <si>
    <t>00020126740014br.gov.bcb.pix013686b26441-94eb-4523-9e8a-79120d007b940212000054815895520400005303986540560.755802BR5907TIM S A6009SAO PAULO62290525R3600005481589513071616026304A774</t>
  </si>
  <si>
    <t>496.410.263-72</t>
  </si>
  <si>
    <t>1.352986282</t>
  </si>
  <si>
    <t>00020126740014br.gov.bcb.pix013686b26441-94eb-4523-9e8a-79120d007b940212000054814696520400005303986540550.005802BR5907TIM S A6009SAO PAULO62290525R3600005481469610071450246304088B</t>
  </si>
  <si>
    <t>00020126740014br.gov.bcb.pix013686b26441-94eb-4523-9e8a-79120d007b940212000059609382520400005303986540558.095802BR5907TIM S A6009SAO PAULO62290525R0500005960938210071218226304E787</t>
  </si>
  <si>
    <t>003.904.543-97</t>
  </si>
  <si>
    <t>1.353551278</t>
  </si>
  <si>
    <t>00020126740014br.gov.bcb.pix013686b26441-94eb-4523-9e8a-79120d007b940212000059645313520400005303986540533.485802BR5907TIM S A6009SAO PAULO62290525R0500005964531313071058276304212F</t>
  </si>
  <si>
    <t>391.090.383-53</t>
  </si>
  <si>
    <t>1.355693197</t>
  </si>
  <si>
    <t>145.069.596-55</t>
  </si>
  <si>
    <t>1.354975581</t>
  </si>
  <si>
    <t>00020126740014br.gov.bcb.pix013686b26441-94eb-4523-9e8a-79120d007b940212000059665582520400005303986540515.005802BR5907TIM S A6009SAO PAULO62290525R0500005966558214071040506304F6DC</t>
  </si>
  <si>
    <t>132.786.476-29</t>
  </si>
  <si>
    <t>1.353002488</t>
  </si>
  <si>
    <t>127.283.376-32</t>
  </si>
  <si>
    <t>1.352490832</t>
  </si>
  <si>
    <t xml:space="preserve">00020126740014br.gov.bcb.pix013686b26441-94eb-4523-9e8a-79120d007b940212000059645321520400005303986540522.565802BR5907TIM S A6009SAO PAULO62290525R05000059645321130710584163047C7B
</t>
  </si>
  <si>
    <t>062.204.638-11</t>
  </si>
  <si>
    <t>1.355782837</t>
  </si>
  <si>
    <t>936.803.686-15</t>
  </si>
  <si>
    <t>1.353140535</t>
  </si>
  <si>
    <t>00020126740014br.gov.bcb.pix013686b26441-94eb-4523-9e8a-79120d007b940212000059612750520400005303986540545.705802BR5907TIM S A6009SAO PAULO62290525R050000596127501007153856630453D9</t>
  </si>
  <si>
    <t>408.868.596-20</t>
  </si>
  <si>
    <t>1.354416496</t>
  </si>
  <si>
    <t>00020126740014br.gov.bcb.pix013686b26441-94eb-4523-9e8a-79120d007b940212000059612217520400005303986540530.005802BR5907TIM S A6009SAO PAULO62290525R05000059612217100715084263049E6C</t>
  </si>
  <si>
    <t>154.672.036-73</t>
  </si>
  <si>
    <t>1.353557818</t>
  </si>
  <si>
    <t>00020126740014br.gov.bcb.pix013686b26441-94eb-4523-9e8a-79120d007b940212000059611254520400005303986540536.675802BR5907TIM S A6009SAO PAULO62290525R0500005961125410071420006304BF63</t>
  </si>
  <si>
    <t>054.210.676-02</t>
  </si>
  <si>
    <t>1.355532574</t>
  </si>
  <si>
    <t>064.166.696-92</t>
  </si>
  <si>
    <t>1.355918017</t>
  </si>
  <si>
    <t>095.897.106-46</t>
  </si>
  <si>
    <t>1.356006070</t>
  </si>
  <si>
    <t>601.649.306-63</t>
  </si>
  <si>
    <t>1.355994084</t>
  </si>
  <si>
    <t>870.093.826-20</t>
  </si>
  <si>
    <t>1.354198208</t>
  </si>
  <si>
    <t>408.238.736-68</t>
  </si>
  <si>
    <t>1.354296363</t>
  </si>
  <si>
    <t>013.370.366-50</t>
  </si>
  <si>
    <t>1.356000546</t>
  </si>
  <si>
    <t>809.138.906-00</t>
  </si>
  <si>
    <t>1.355355669</t>
  </si>
  <si>
    <t>112.332.026-85</t>
  </si>
  <si>
    <t>1.355460847</t>
  </si>
  <si>
    <t>702.381.386-15</t>
  </si>
  <si>
    <t>1.355321616</t>
  </si>
  <si>
    <t>130.357.676-70</t>
  </si>
  <si>
    <t>1.355668819</t>
  </si>
  <si>
    <t>043.773.766-75</t>
  </si>
  <si>
    <t>1.353550880</t>
  </si>
  <si>
    <t>963.097.336-72</t>
  </si>
  <si>
    <t>1.355925689</t>
  </si>
  <si>
    <t>512.872.346-15</t>
  </si>
  <si>
    <t>1.353429722</t>
  </si>
  <si>
    <t>109.391.587-01</t>
  </si>
  <si>
    <t>1.353144790</t>
  </si>
  <si>
    <t>00020126740014br.gov.bcb.pix013686b26441-94eb-4523-9e8a-79120d007b940212000054816070520400005303986540570.005802BR5907TIM S A6009SAO PAULO62290525R3600005481607014070811446304B0AB</t>
  </si>
  <si>
    <t>00020126740014br.gov.bcb.pix013686b26441-94eb-4523-9e8a-79120d007b940212000059666902520400005303986540540.005802BR5907TIM S A6009SAO PAULO62290525R05000059666902140711244863041ABD</t>
  </si>
  <si>
    <t>074.593.836-19</t>
  </si>
  <si>
    <t>1.353077220</t>
  </si>
  <si>
    <t>00020126740014br.gov.bcb.pix013686b26441-94eb-4523-9e8a-79120d007b940212000054816230520400005303986540574.425802BR5907TIM S A6009SAO PAULO62290525R360000548162301407111550630409F1</t>
  </si>
  <si>
    <t>000.710.926-17</t>
  </si>
  <si>
    <t>1.355056994</t>
  </si>
  <si>
    <t>909.812.196-91</t>
  </si>
  <si>
    <t>1.352737873</t>
  </si>
  <si>
    <t>00020126740014br.gov.bcb.pix013686b26441-94eb-4523-9e8a-79120d007b940212000059675153520400005303986540520.295802BR5907TIM S A6009SAO PAULO62290525R0500005967515314071709176304AD15</t>
  </si>
  <si>
    <t>292.452.748-10</t>
  </si>
  <si>
    <t>1.353246427</t>
  </si>
  <si>
    <t>00020126740014br.gov.bcb.pix013686b26441-94eb-4523-9e8a-79120d007b940212000054816912520400005303986540565.185802BR5907TIM S A6009SAO PAULO62290525R3600005481691215071401366304BE27</t>
  </si>
  <si>
    <t>228.427.678-45</t>
  </si>
  <si>
    <t>1.353043233</t>
  </si>
  <si>
    <t>00020126740014br.gov.bcb.pix013686b26441-94eb-4523-9e8a-79120d007b940212000054816198520400005303986540585.665802BR5907TIM S A6009SAO PAULO62290525R3600005481619814071047586304189E</t>
  </si>
  <si>
    <t>017.648.906-12</t>
  </si>
  <si>
    <t>1.355906719</t>
  </si>
  <si>
    <t>682.761.506-59</t>
  </si>
  <si>
    <t>1.353335356</t>
  </si>
  <si>
    <t xml:space="preserve"> 18/07/2026</t>
  </si>
  <si>
    <t>00020126740014br.gov.bcb.pix013686b26441-94eb-4523-9e8a-79120d007b940212000054816919520400005303986540559.905802BR5907TIM S A6009SAO PAULO62290525R36000054816919150714093463042537</t>
  </si>
  <si>
    <t>060.589.266-02</t>
  </si>
  <si>
    <t>1.355942762</t>
  </si>
  <si>
    <t>115.751.356-55</t>
  </si>
  <si>
    <t>1.355024284</t>
  </si>
  <si>
    <t>00020126740014br.gov.bcb.pix013686b26441-94eb-4523-9e8a-79120d007b940212000059687598520400005303986540525.015802BR5907TIM S A6009SAO PAULO62290525R0500005968759815071205416304FA15</t>
  </si>
  <si>
    <t>00020126740014br.gov.bcb.pix013686b26441-94eb-4523-9e8a-79120d007b940212000059687862520400005303986540548.775802BR5907TIM S A6009SAO PAULO62290525R05000059687862150715234963040A53</t>
  </si>
  <si>
    <t>041.826.194-63</t>
  </si>
  <si>
    <t>1.353659701</t>
  </si>
  <si>
    <t>058.329.946-63</t>
  </si>
  <si>
    <t>1.353177338</t>
  </si>
  <si>
    <t>1.352767117</t>
  </si>
  <si>
    <t>Não enviado</t>
  </si>
  <si>
    <t>013.768.286-77</t>
  </si>
  <si>
    <t>1.353161483</t>
  </si>
  <si>
    <t>077.324.156-63</t>
  </si>
  <si>
    <t>1.355955777</t>
  </si>
  <si>
    <t>520.332.106-00</t>
  </si>
  <si>
    <t>1.354839600</t>
  </si>
  <si>
    <t>062.305.286-57</t>
  </si>
  <si>
    <t>1.352477801</t>
  </si>
  <si>
    <t>884.894.186-91</t>
  </si>
  <si>
    <t>1.355366357</t>
  </si>
  <si>
    <t xml:space="preserve"> 00020126740014br.gov.bcb.pix013686b26441-94eb-4523-9e8a-79120d007b940212000059686042520400005303986540534.095802BR5907TIM S A6009SAO PAULO62290525R050000596860421507110923630455D0</t>
  </si>
  <si>
    <t>753.863.216-68</t>
  </si>
  <si>
    <t>1.354449088</t>
  </si>
  <si>
    <t>00020126740014br.gov.bcb.pix013686b26441-94eb-4523-9e8a-79120d007b940212000059671603520400005303986540565.005802BR5907TIM S A6009SAO PAULO62290525R0500005967160314071614356304C9E5</t>
  </si>
  <si>
    <t>00020126740014br.gov.bcb.pix013686b26441-94eb-4523-9e8a-79120d007b940212000059667633520400005303986540544.665802BR5907TIM S A6009SAO PAULO62290525R0500005966763314071150086304055B</t>
  </si>
  <si>
    <t>071.497.456-01</t>
  </si>
  <si>
    <t>1.353165948</t>
  </si>
  <si>
    <t xml:space="preserve"> 00020126740014br.gov.bcb.pix013686b26441-94eb-4523-9e8a-79120d007b940212000059663768520400005303986540545.775802BR5907TIM S A6009SAO PAULO62290525R0500005966376814070937516304AEF9</t>
  </si>
  <si>
    <t>603.656.506-25</t>
  </si>
  <si>
    <t>1.352521298</t>
  </si>
  <si>
    <t>054.107.886-05</t>
  </si>
  <si>
    <t>1.353164546</t>
  </si>
  <si>
    <t>018.761.336-27</t>
  </si>
  <si>
    <t>1.352798435</t>
  </si>
  <si>
    <t>014.357.294-63</t>
  </si>
  <si>
    <t>1.354596312</t>
  </si>
  <si>
    <t>1.353689887</t>
  </si>
  <si>
    <t>876.944.924-49</t>
  </si>
  <si>
    <t>1.353787618</t>
  </si>
  <si>
    <t>658.614.933-91</t>
  </si>
  <si>
    <t>1.352332262</t>
  </si>
  <si>
    <t>372.417.453-53</t>
  </si>
  <si>
    <t>1.353617987</t>
  </si>
  <si>
    <t>628.213.933-34</t>
  </si>
  <si>
    <t>1.353446989</t>
  </si>
  <si>
    <t>553.531.933-34</t>
  </si>
  <si>
    <t>1.353269554</t>
  </si>
  <si>
    <t>394.576.213-87</t>
  </si>
  <si>
    <t>1.353433979</t>
  </si>
  <si>
    <t>077.111.743-49</t>
  </si>
  <si>
    <t>1.352656303</t>
  </si>
  <si>
    <t>00020126740014br.gov.bcb.pix013686b26441-94eb-4523-9e8a-79120d007b940212000054816254520400005303986540549.655802BR5907TIM S A6009SAO PAULO62290525R3600005481625414071148146304A278</t>
  </si>
  <si>
    <t>637.329.473-00</t>
  </si>
  <si>
    <t>1.353143787</t>
  </si>
  <si>
    <t>130.533.103-68</t>
  </si>
  <si>
    <t>1.353634598</t>
  </si>
  <si>
    <t>446.218.333-91</t>
  </si>
  <si>
    <t>1.354849650</t>
  </si>
  <si>
    <t>066.261.733-91</t>
  </si>
  <si>
    <t>1.353071120</t>
  </si>
  <si>
    <t>078.833.823-49</t>
  </si>
  <si>
    <t>1.354210669</t>
  </si>
  <si>
    <t>423.766.248-94</t>
  </si>
  <si>
    <t>1.352006778</t>
  </si>
  <si>
    <t>1.353786215</t>
  </si>
  <si>
    <t>959.647.974-15</t>
  </si>
  <si>
    <t>1.353427925</t>
  </si>
  <si>
    <t>333.502.134-72</t>
  </si>
  <si>
    <t>1.355265077</t>
  </si>
  <si>
    <t>709.148.774-53</t>
  </si>
  <si>
    <t>1.352863207</t>
  </si>
  <si>
    <t>1.353658607</t>
  </si>
  <si>
    <t>082.307.434-01</t>
  </si>
  <si>
    <t>1.353271186</t>
  </si>
  <si>
    <t>045.349.324-64</t>
  </si>
  <si>
    <t>1.354086575</t>
  </si>
  <si>
    <t>115.119.754-82</t>
  </si>
  <si>
    <t>1.355178503</t>
  </si>
  <si>
    <t>025.899.124-04</t>
  </si>
  <si>
    <t>1.352560210</t>
  </si>
  <si>
    <t>304.725.124-04</t>
  </si>
  <si>
    <t>1.354456871</t>
  </si>
  <si>
    <t>30902803219986</t>
  </si>
  <si>
    <t>1.355953565</t>
  </si>
  <si>
    <t>714.749.794-59</t>
  </si>
  <si>
    <t>1.353238894</t>
  </si>
  <si>
    <t>1.352471599</t>
  </si>
  <si>
    <t>1.353839581</t>
  </si>
  <si>
    <t>033.760.772-90</t>
  </si>
  <si>
    <t>1.353675605</t>
  </si>
  <si>
    <t>919.487.546-49</t>
  </si>
  <si>
    <t>1.353547514</t>
  </si>
  <si>
    <t>007.991.324-54</t>
  </si>
  <si>
    <t>1.353640601</t>
  </si>
  <si>
    <t>704.181.954-04</t>
  </si>
  <si>
    <t>1.354249580</t>
  </si>
  <si>
    <t>075.964.424-12</t>
  </si>
  <si>
    <t>1.353143898</t>
  </si>
  <si>
    <t>200.048.503-00</t>
  </si>
  <si>
    <t>1.353615823</t>
  </si>
  <si>
    <t>00020126740014br.gov.bcb.pix013686b26441-94eb-4523-9e8a-79120d007b940212000054814229520400005303986540514.075802BR5907TIM S A6009SAO PAULO62290525R3600005481422909071610116304B97B</t>
  </si>
  <si>
    <t>00020126740014br.gov.bcb.pix013686b26441-94eb-4523-9e8a-79120d007b940212000054814231520400005303986540556.155802BR5907TIM S A6009SAO PAULO62290525R360000548142310907161146630481F8</t>
  </si>
  <si>
    <t>00020126740014br.gov.bcb.pix013686b26441-94eb-4523-9e8a-79120d007b940212000054814233520400005303986540522.425802BR5907TIM S A6009SAO PAULO62290525R36000054814233090716125763041CD3</t>
  </si>
  <si>
    <t>00020126740014br.gov.bcb.pix013686b26441-94eb-4523-9e8a-79120d007b940212000054814235520400005303986540538.605802BR5907TIM S A6009SAO PAULO62290525R36000054814235090716140563041824</t>
  </si>
  <si>
    <t>00020126740014br.gov.bcb.pix013686b26441-94eb-4523-9e8a-79120d007b9402120000548142365204000053039865406301.055802BR5907TIM S A6009SAO PAULO62290525R3600005481423609071615496304216C</t>
  </si>
  <si>
    <t>00020126740014br.gov.bcb.pix013686b26441-94eb-4523-9e8a-79120d007b940212000054814243520400005303986540514.825802BR5907TIM S A6009SAO PAULO62290525R3600005481424309071623246304D28B</t>
  </si>
  <si>
    <t>00020126740014br.gov.bcb.pix013686b26441-94eb-4523-9e8a-79120d007b940212000054814244520400005303986540527.155802BR5907TIM S A6009SAO PAULO62290525R3600005481424409071624326304EDC2</t>
  </si>
  <si>
    <t>00020126740014br.gov.bcb.pix013686b26441-94eb-4523-9e8a-79120d007b940212000054814246520400005303986540537.615802BR5907TIM S A6009SAO PAULO62290525R360000548142460907162620630466FB</t>
  </si>
  <si>
    <t>00020126740014br.gov.bcb.pix013686b26441-94eb-4523-9e8a-79120d007b940212000054814248520400005303986540544.195802BR5907TIM S A6009SAO PAULO62290525R36000054814248090716283763049F76</t>
  </si>
  <si>
    <t>07276267000155</t>
  </si>
  <si>
    <t>7.2173715</t>
  </si>
  <si>
    <t>00020126740014br.gov.bcb.pix013686b26441-94eb-4523-9e8a-79120d007b940212000059598885520400005303986540522.395802BR5907TIM S A6009SAO PAULO62290525R0500005959888509071629526304B820</t>
  </si>
  <si>
    <t>41483672000182</t>
  </si>
  <si>
    <t>7.2201491</t>
  </si>
  <si>
    <t>00020126740014br.gov.bcb.pix013686b26441-94eb-4523-9e8a-79120d007b94021212001928621752040000530398654045.985802BR5907TIM S A6009SAO PAULO62290525R05120019286217130712585063043B5B</t>
  </si>
  <si>
    <t>41416457000169</t>
  </si>
  <si>
    <t>7.2201308</t>
  </si>
  <si>
    <t>00020126740014br.gov.bcb.pix013686b26441-94eb-4523-9e8a-79120d007b94021212001928626152040000530398654045.995802BR5907TIM S A6009SAO PAULO62290525R0512001928626113071300216304D9DB</t>
  </si>
  <si>
    <t>40409407000191</t>
  </si>
  <si>
    <t>7.2192420.10</t>
  </si>
  <si>
    <t>20/04/2026</t>
  </si>
  <si>
    <t>00020126740014br.gov.bcb.pix013686b26441-94eb-4523-9e8a-79120d007b940212120019286287520400005303986540565.675802BR5907TIM S A6009SAO PAULO62290525R0512001928628713071301336304FF4B</t>
  </si>
  <si>
    <t>00020126740014br.gov.bcb.pix013686b26441-94eb-4523-9e8a-79120d007b940212000054815713520400005303986540522.415802BR5907TIM S A6009SAO PAULO62290525R3600005481571313071302516304B6BC</t>
  </si>
  <si>
    <t>53871093000196</t>
  </si>
  <si>
    <t>7.2173763.10</t>
  </si>
  <si>
    <t>00020126740014br.gov.bcb.pix013686b26441-94eb-4523-9e8a-79120d007b9402121200192863625204000053039865406128.045802BR5907TIM S A6009SAO PAULO62290525R05120019286362130713035663048EBD</t>
  </si>
  <si>
    <t>00020126740014br.gov.bcb.pix013686b26441-94eb-4523-9e8a-79120d007b9402120000548157165204000053039865406569.915802BR5907TIM S A6009SAO PAULO62290525R36000054815716130713051863048F14</t>
  </si>
  <si>
    <t>16596611000184</t>
  </si>
  <si>
    <t>7.2173003</t>
  </si>
  <si>
    <t>00020126740014br.gov.bcb.pix013686b26441-94eb-4523-9e8a-79120d007b9402120200215351245204000053039865406135.635802BR5907TIM S A6009SAO PAULO62290525R050200215351241307130641630410DD</t>
  </si>
  <si>
    <t>02188049000145</t>
  </si>
  <si>
    <t>7.2172763</t>
  </si>
  <si>
    <t>00020126740014br.gov.bcb.pix013686b26441-94eb-4523-9e8a-79120d007b940212000059649019520400005303986540529.245802BR5907TIM S A6009SAO PAULO62290525R0500005964901913071311596304463F</t>
  </si>
  <si>
    <t>00020126740014br.gov.bcb.pix013686b26441-94eb-4523-9e8a-79120d007b9402120000548157375204000053039865406121.565802BR5907TIM S A6009SAO PAULO62290525R3600005481573713071334466304E18F</t>
  </si>
  <si>
    <t>54001611000183</t>
  </si>
  <si>
    <t>7.2175165.10</t>
  </si>
  <si>
    <t>00020126740014br.gov.bcb.pix013686b26441-94eb-4523-9e8a-79120d007b940212000059649826520400005303986540531.695802BR5907TIM S A6009SAO PAULO62290525R0500005964982613071336256304A9B7</t>
  </si>
  <si>
    <t>59778054000125</t>
  </si>
  <si>
    <t>7.2208724</t>
  </si>
  <si>
    <t>00020126740014br.gov.bcb.pix013686b26441-94eb-4523-9e8a-79120d007b940212290016238768520400005303986540525.955802BR5907TIM S A6009SAO PAULO62290525R0529001623876814071259426304D303</t>
  </si>
  <si>
    <t>55491810000180</t>
  </si>
  <si>
    <t>7.2207169</t>
  </si>
  <si>
    <t>00020126740014br.gov.bcb.pix013686b26441-94eb-4523-9e8a-79120d007b940212290016238788520400005303986540526.895802BR5907TIM S A6009SAO PAULO62290525R05290016238788140713005163048AF7</t>
  </si>
  <si>
    <t>13413366000304</t>
  </si>
  <si>
    <t>7.2204755</t>
  </si>
  <si>
    <t>00020126740014br.gov.bcb.pix013686b26441-94eb-4523-9e8a-79120d007b940212290016238821520400005303986540564.385802BR5907TIM S A6009SAO PAULO62290525R05290016238821140713015163048D02</t>
  </si>
  <si>
    <t>73939506000134</t>
  </si>
  <si>
    <t>7.2205806.10</t>
  </si>
  <si>
    <t>00020126740014br.gov.bcb.pix013686b26441-94eb-4523-9e8a-79120d007b940212290016238840520400005303986540526.525802BR5907TIM S A6009SAO PAULO62290525R05290016238840140713025763045A62</t>
  </si>
  <si>
    <t>00020126740014br.gov.bcb.pix013686b26441-94eb-4523-9e8a-79120d007b940212290016238892520400005303986540510.825802BR5907TIM S A6009SAO PAULO62290525R05290016238892140713043063048606</t>
  </si>
  <si>
    <t>17303646000140</t>
  </si>
  <si>
    <t>7.2199542</t>
  </si>
  <si>
    <t>00020126740014br.gov.bcb.pix013686b26441-94eb-4523-9e8a-79120d007b940212290016238910520400005303986540529.665802BR5907TIM S A6009SAO PAULO62290525R0529001623891014071305266304C217</t>
  </si>
  <si>
    <t>73599284000158</t>
  </si>
  <si>
    <t>7.2194898</t>
  </si>
  <si>
    <t>00020126740014br.gov.bcb.pix013686b26441-94eb-4523-9e8a-79120d007b940212290016238931520400005303986540520.865802BR5907TIM S A6009SAO PAULO62290525R0529001623893114071306216304FC1C</t>
  </si>
  <si>
    <t>42830982000199</t>
  </si>
  <si>
    <t>7.2183909.10</t>
  </si>
  <si>
    <t>00020126740014br.gov.bcb.pix013686b26441-94eb-4523-9e8a-79120d007b940212290016238949520400005303986540544.345802BR5907TIM S A6009SAO PAULO62290525R05290016238949140713071763047DAE</t>
  </si>
  <si>
    <t>27964231000171</t>
  </si>
  <si>
    <t>7.2192784.10</t>
  </si>
  <si>
    <t>00020126740014br.gov.bcb.pix013686b26441-94eb-4523-9e8a-79120d007b940212290016239007520400005303986540530.255802BR5907TIM S A6009SAO PAULO62290525R052900162390071407130823630431E0</t>
  </si>
  <si>
    <t>00020126740014br.gov.bcb.pix013686b26441-94eb-4523-9e8a-79120d007b940212000054816329520400005303986540514.135802BR5907TIM S A6009SAO PAULO62290525R3600005481632914071310036304332A</t>
  </si>
  <si>
    <t>21452699000109</t>
  </si>
  <si>
    <t>7.2192392.10</t>
  </si>
  <si>
    <t>34619407000113</t>
  </si>
  <si>
    <t>7.2192401.10</t>
  </si>
  <si>
    <t>51572933000194</t>
  </si>
  <si>
    <t>7.2192431.10</t>
  </si>
  <si>
    <t>55468028000140</t>
  </si>
  <si>
    <t>7.2192477.10</t>
  </si>
  <si>
    <t>35487726000185</t>
  </si>
  <si>
    <t>7.2190917.10</t>
  </si>
  <si>
    <t>57823697000118</t>
  </si>
  <si>
    <t>7.2190303.10</t>
  </si>
  <si>
    <t>02821851000554</t>
  </si>
  <si>
    <t>7.2190442</t>
  </si>
  <si>
    <t>34971982000180</t>
  </si>
  <si>
    <t>7.2187927.10</t>
  </si>
  <si>
    <t>48226426000194</t>
  </si>
  <si>
    <t>7.2187573.10</t>
  </si>
  <si>
    <t>16666414000194</t>
  </si>
  <si>
    <t>7.2184149</t>
  </si>
  <si>
    <t>59508702000123</t>
  </si>
  <si>
    <t>7.2183819.10</t>
  </si>
  <si>
    <t>44123775000120</t>
  </si>
  <si>
    <t>7.2185025.10</t>
  </si>
  <si>
    <t>42913870000100</t>
  </si>
  <si>
    <t>7.2186904</t>
  </si>
  <si>
    <t>493.023.292-91</t>
  </si>
  <si>
    <t>1.349885071</t>
  </si>
  <si>
    <t>RAUL</t>
  </si>
  <si>
    <t>00020126740014br.gov.bcb.pix013686b26441-94eb-4523-9e8a-79120d007b940212000057448727520400005303986540520.565802BR5907TIM S A6009SAO PAULO62290525R050000574487270403155824630458B1</t>
  </si>
  <si>
    <t>880.494.262-20</t>
  </si>
  <si>
    <t>1.349182381</t>
  </si>
  <si>
    <t>00020126740014br.gov.bcb.pix013686b26441-94eb-4523-9e8a-79120d007b940212000057460846520400005303986540529.335802BR5907TIM S A6009SAO PAULO62290525R050000574608460503114508630487BB</t>
  </si>
  <si>
    <t>032.379.162-00</t>
  </si>
  <si>
    <t>1.349191125</t>
  </si>
  <si>
    <t>00020126740014br.gov.bcb.pix013686b26441-94eb-4523-9e8a-79120d007b940212000057459735520400005303986540524.815802BR5907TIM S A6009SAO PAULO62290525R05000057459735050311023963041EBD</t>
  </si>
  <si>
    <t>126.480.067-37</t>
  </si>
  <si>
    <t>1.347922486</t>
  </si>
  <si>
    <t>LUCY</t>
  </si>
  <si>
    <t>00020126740014br.gov.bcb.pix013686b26441-94eb-4523-9e8a-79120d007b940212000057464806520400005303986540517.075802BR5907TIM S A6009SAO PAULO62290525R0500005746480605031456176304114D</t>
  </si>
  <si>
    <t>742.337.182-34</t>
  </si>
  <si>
    <t>1.351224469</t>
  </si>
  <si>
    <t>00020126740014br.gov.bcb.pix013686b26441-94eb-4523-9e8a-79120d007b940212005667891218520400005303986540531.655802BR5907TIM S A6009SAO PAULO62290525R08005667891218050314100263044572</t>
  </si>
  <si>
    <t>334.861.662-04</t>
  </si>
  <si>
    <t>1.348226206</t>
  </si>
  <si>
    <t xml:space="preserve">ALICIA </t>
  </si>
  <si>
    <t>00020126740014br.gov.bcb.pix013686b26441-94eb-4523-9e8a-79120d007b940212000057457110520400005303986540515.845802BR5907TIM S A6009SAO PAULO62290525R0500005745711005031012246304F6A7</t>
  </si>
  <si>
    <t>052.972.572-04</t>
  </si>
  <si>
    <t>1.349309831</t>
  </si>
  <si>
    <t xml:space="preserve">VICTORIA </t>
  </si>
  <si>
    <t>00020126740014br.gov.bcb.pix013686b26441-94eb-4523-9e8a-79120d007b940212000057447513520400005303986540522.625802BR5907TIM S A6009SAO PAULO62290525R05000057447513040315155363042E54</t>
  </si>
  <si>
    <t>633.301.722-15</t>
  </si>
  <si>
    <t>1.349507079</t>
  </si>
  <si>
    <t>KARLA</t>
  </si>
  <si>
    <t>00020126740014br.gov.bcb.pix013686b26441-94eb-4523-9e8a-79120d007b940212000054756659520400005303986540525.205802BR5907TIM S A6009SAO PAULO62290525R3600005475665910031636076304C1A1</t>
  </si>
  <si>
    <t>239.740.872-49</t>
  </si>
  <si>
    <t>1.349507087</t>
  </si>
  <si>
    <t>PAGO</t>
  </si>
  <si>
    <t>CLIENTE PAGOU.</t>
  </si>
  <si>
    <t>600.628.355-72</t>
  </si>
  <si>
    <t>1.348356129</t>
  </si>
  <si>
    <t>00020126740014br.gov.bcb.pix013686b26441-94eb-4523-9e8a-79120d007b940212000054753633520400005303986540541.235802BR5907TIM S A6009SAO PAULO62290525R3600005475363304031613536304258D</t>
  </si>
  <si>
    <t>832.946.005-34</t>
  </si>
  <si>
    <t>1.348840555</t>
  </si>
  <si>
    <t>VICTORIA</t>
  </si>
  <si>
    <t>00020126740014br.gov.bcb.pix013686b26441-94eb-4523-9e8a-79120d007b940212000054753699520400005303986540519.945802BR5907TIM S A6009SAO PAULO62290525R36000054753699040317362463042A75</t>
  </si>
  <si>
    <t>913.197.145-87</t>
  </si>
  <si>
    <t>1.347884881</t>
  </si>
  <si>
    <t>887.287.225-15</t>
  </si>
  <si>
    <t>1.348164694</t>
  </si>
  <si>
    <t>00020126740014br.gov.bcb.pix013686b26441-94eb-4523-9e8a-79120d007b94021200566774523752040000530398654042.445802BR5907TIM S A6009SAO PAULO62290525R0800566774523705031414536304F4B6</t>
  </si>
  <si>
    <t xml:space="preserve">	388.398.815-49</t>
  </si>
  <si>
    <t>1.351469785</t>
  </si>
  <si>
    <t>00020126740014br.gov.bcb.pix013686b26441-94eb-4523-9e8a-79120d007b94021200566788880252040000530398654044.235802BR5907TIM S A6009SAO PAULO62290525R0800566788880205031416336304EC58</t>
  </si>
  <si>
    <t>10.777.005/0001-89</t>
  </si>
  <si>
    <t>1.349885821</t>
  </si>
  <si>
    <t>00020126740014br.gov.bcb.pix013686b26441-94eb-4523-9e8a-79120d007b940212000057447919520400005303986540523.095802BR5907TIM S A6009SAO PAULO62290525R05000057447919040315321263049C76</t>
  </si>
  <si>
    <t>831.364.105-30</t>
  </si>
  <si>
    <t>1.349860085</t>
  </si>
  <si>
    <t>LUNA</t>
  </si>
  <si>
    <t>00020126740014br.gov.bcb.pix013686b26441-94eb-4523-9e8a-79120d007b940212000057467603520400005303986540518.675802BR5907TIM S A6009SAO PAULO62290525R0500005746760305031720396304EBF7</t>
  </si>
  <si>
    <t>624.753.392-68</t>
  </si>
  <si>
    <t>1.350143286</t>
  </si>
  <si>
    <t>JENNYFER</t>
  </si>
  <si>
    <t>00020126740014br.gov.bcb.pix013686b26441-94eb-4523-9e8a-79120d007b940212000057465146520400005303986540530.855802BR5907TIM S A6009SAO PAULO62290525R05000057465146050315122763043F49</t>
  </si>
  <si>
    <t>018.231.843-59</t>
  </si>
  <si>
    <t>1.348305767</t>
  </si>
  <si>
    <t>LORENA</t>
  </si>
  <si>
    <t>00020126740014br.gov.bcb.pix013686b26441-94eb-4523-9e8a-79120d007b940212000054754048520400005303986540530.005802BR5907TIM S A6009SAO PAULO62290525R3600005475404805031112396304094F</t>
  </si>
  <si>
    <t>081.217.696-04</t>
  </si>
  <si>
    <t>1.349431131</t>
  </si>
  <si>
    <t>00020126740014br.gov.bcb.pix013686b26441-94eb-4523-9e8a-79120d007b940212000057460577520400005303986540510.775802BR5907TIM S A6009SAO PAULO62290525R0500005746057705031135226304177D</t>
  </si>
  <si>
    <t>042.022.536-63</t>
  </si>
  <si>
    <t>1.349945550</t>
  </si>
  <si>
    <t>NICK</t>
  </si>
  <si>
    <t>00020126740014br.gov.bcb.pix013686b26441-94eb-4523-9e8a-79120d007b940212000057457716520400005303986540520.575802BR5907TIM S A6009SAO PAULO62290525R050000574577160503095135630475A2</t>
  </si>
  <si>
    <t>018.960.656-86</t>
  </si>
  <si>
    <t>1.349171483</t>
  </si>
  <si>
    <t>00020126740014br.gov.bcb.pix013686b26441-94eb-4523-9e8a-79120d007b940212000057463969520400005303986540522.675802BR5907TIM S A6009SAO PAULO62290525R0500005746396905031434496304051B</t>
  </si>
  <si>
    <t>036.185.386-69</t>
  </si>
  <si>
    <t>1.349680992</t>
  </si>
  <si>
    <t>LUCIO</t>
  </si>
  <si>
    <t>00020126740014br.gov.bcb.pix013686b26441-94eb-4523-9e8a-79120d007b940212000054755728520400005303986540529.515802BR5907TIM S A6009SAO PAULO62290525R36000054755728090310324763041B4A</t>
  </si>
  <si>
    <t>096.055.366-50</t>
  </si>
  <si>
    <t>1.348673980</t>
  </si>
  <si>
    <t>00020126740014br.gov.bcb.pix013686b26441-94eb-4523-9e8a-79120d007b940212000057461139520400005303986540529.105802BR5907TIM S A6009SAO PAULO62290525R0500005746113905031156266304F982</t>
  </si>
  <si>
    <t>587.530.014-00</t>
  </si>
  <si>
    <t>1.348500983</t>
  </si>
  <si>
    <t>DANIEL</t>
  </si>
  <si>
    <t>00020126740014br.gov.bcb.pix013686b26441-94eb-4523-9e8a-79120d007b940212000054754093520400005303986540526.355802BR5907TIM S A6009SAO PAULO62290525R36000054754093050311485063043A78</t>
  </si>
  <si>
    <t>116.208.404-99</t>
  </si>
  <si>
    <t>1.349257062</t>
  </si>
  <si>
    <t>116.294.267-33</t>
  </si>
  <si>
    <t>1.348451175</t>
  </si>
  <si>
    <t>00020126740014br.gov.bcb.pix013686b26441-94eb-4523-9e8a-79120d007b940212000054754039520400005303986540536.825802BR5907TIM S A6009SAO PAULO62290525R36000054754039050311052063042105</t>
  </si>
  <si>
    <t>344.227.306-49</t>
  </si>
  <si>
    <t>1.350137762</t>
  </si>
  <si>
    <t>JULIA</t>
  </si>
  <si>
    <t>00020126740014br.gov.bcb.pix013686b26441-94eb-4523-9e8a-79120d007b940212000057447931520400005303986540520.565802BR5907TIM S A6009SAO PAULO62290525R05000057447931040316225863040BE7</t>
  </si>
  <si>
    <t>23821176000371</t>
  </si>
  <si>
    <t>7.2148623</t>
  </si>
  <si>
    <t>MARÇO M9</t>
  </si>
  <si>
    <t>00020126740014br.gov.bcb.pix013686b26441-94eb-4523-9e8a-79120d007b940212000054754120520400005303986540527.885802BR5907TIM S A6009SAO PAULO62290525R36000054754120050312212763041053</t>
  </si>
  <si>
    <t>00020126740014br.gov.bcb.pix013686b26441-94eb-4523-9e8a-79120d007b940212000057496100520400005303986540535.005802BR5907TIM S A6009SAO PAULO62290525R0500005749610009031501216304DC35</t>
  </si>
  <si>
    <t>00020126740014br.gov.bcb.pix013686b26441-94eb-4523-9e8a-79120d007b940212000057496319520400005303986540527.045802BR5907TIM S A6009SAO PAULO62290525R0500005749631910031450456304BB18</t>
  </si>
  <si>
    <t>00020126740014br.gov.bcb.pix013686b26441-94eb-4523-9e8a-79120d007b940212000057506649520400005303986540520.275802BR5907TIM S A6009SAO PAULO62290525R05000057506649100310113863046255</t>
  </si>
  <si>
    <t>40486088000118</t>
  </si>
  <si>
    <t>7.2174154.10</t>
  </si>
  <si>
    <t>00020126740014br.gov.bcb.pix013686b26441-94eb-4523-9e8a-79120d007b940212000057496520520400005303986540531.805802BR5907TIM S A6009SAO PAULO62290525R0500005749652009031450276304AF31</t>
  </si>
  <si>
    <t>00020126740014br.gov.bcb.pix013686b26441-94eb-4523-9e8a-79120d007b940212000054756545520400005303986540519.225802BR5907TIM S A6009SAO PAULO62290525R360000547565451003143143630437D2</t>
  </si>
  <si>
    <t>45308240000196</t>
  </si>
  <si>
    <t>7.2177435.10</t>
  </si>
  <si>
    <t>00020126740014br.gov.bcb.pix013686b26441-94eb-4523-9e8a-79120d007b940212000057495729520400005303986540518.245802BR5907TIM S A6009SAO PAULO62290525R05000057495729090314112363048645</t>
  </si>
  <si>
    <t>MIGUEL</t>
  </si>
  <si>
    <t>00020126740014br.gov.bcb.pix013686b26441-94eb-4523-9e8a-79120d007b940212000057498314520400005303986540512.735802BR5907TIM S A6009SAO PAULO62290525R0500005749831410031501226304CB9C</t>
  </si>
  <si>
    <t>24452665000102</t>
  </si>
  <si>
    <t>7.2172977.10</t>
  </si>
  <si>
    <t>L. DANIEL</t>
  </si>
  <si>
    <t>00020126740014br.gov.bcb.pix013686b26441-94eb-4523-9e8a-79120d007b94021200005749589052040000530398654047.585802BR5907TIM S A6009SAO PAULO62290525R05000057495890090315213763046D3D</t>
  </si>
  <si>
    <t>00020126740014br.gov.bcb.pix013686b26441-94eb-4523-9e8a-79120d007b940212000057496775520400005303986540537.575802BR5907TIM S A6009SAO PAULO62290525R05000057496775090315002763044619</t>
  </si>
  <si>
    <t>JULIANA</t>
  </si>
  <si>
    <t>00020126740014br.gov.bcb.pix013686b26441-94eb-4523-9e8a-79120d007b9402120000575088345204000053039865406244.925802BR5907TIM S A6009SAO PAULO62290525R0500005750883410031155076304909D</t>
  </si>
  <si>
    <t>50736078000147</t>
  </si>
  <si>
    <t>7.2168620.10</t>
  </si>
  <si>
    <t>NICOLAS</t>
  </si>
  <si>
    <t>00020126740014br.gov.bcb.pix013686b26441-94eb-4523-9e8a-79120d007b940212000057511836520400005303986540520.005802BR5907TIM S A6009SAO PAULO62290525R0500005751183610031415466304617B</t>
  </si>
  <si>
    <t>14085417000109</t>
  </si>
  <si>
    <t>7.2163447.10</t>
  </si>
  <si>
    <t>00020126740014br.gov.bcb.pix013686b26441-94eb-4523-9e8a-79120d007b94021200005750966952040000530398654047.635802BR5907TIM S A6009SAO PAULO62290525R050000575096691003123243630472A5</t>
  </si>
  <si>
    <t>20451329000186</t>
  </si>
  <si>
    <t>7.2158304</t>
  </si>
  <si>
    <t>00020126740014br.gov.bcb.pix013686b26441-94eb-4523-9e8a-79120d007b94021200005475653552040000530398654071188.055802BR5907TIM S A6009SAO PAULO62290525R36000054756535100314045363048B44</t>
  </si>
  <si>
    <t>59031093000164</t>
  </si>
  <si>
    <t>7.2157809.10</t>
  </si>
  <si>
    <t>00020126740014br.gov.bcb.pix013686b26441-94eb-4523-9e8a-79120d007b940212000054756563520400005303986540513.145802BR5907TIM S A6009SAO PAULO62290525R3600005475656310031433286304D468</t>
  </si>
  <si>
    <t>032.363.052-90</t>
  </si>
  <si>
    <t>1.348145465</t>
  </si>
  <si>
    <t>LUCIANA</t>
  </si>
  <si>
    <t>00020126740014br.gov.bcb.pix013686b26441-94eb-4523-9e8a-79120d007b940212000057611833520400005303986540524.155802BR5907TIM S A6009SAO PAULO62290525R05000057611833160318143563043E93</t>
  </si>
  <si>
    <t>006.575.182-55</t>
  </si>
  <si>
    <t>1.349898695</t>
  </si>
  <si>
    <t>00020126740014br.gov.bcb.pix013686b26441-94eb-4523-9e8a-79120d007b940212000057553333520400005303986540520.605802BR5907TIM S A6009SAO PAULO62290525R05000057553333120315275363041584</t>
  </si>
  <si>
    <t>63.693.386/0001-84</t>
  </si>
  <si>
    <t>1.349307395</t>
  </si>
  <si>
    <t>00020126740014br.gov.bcb.pix013686b26441-94eb-4523-9e8a-79120d007b940212240018687119520400005303986540542.685802BR5907TIM S A6009SAO PAULO62290525R05240018687119260313063663049D7C</t>
  </si>
  <si>
    <t>193.499.122-87</t>
  </si>
  <si>
    <t>1.348687061</t>
  </si>
  <si>
    <t>00020126740014br.gov.bcb.pix013686b26441-94eb-4523-9e8a-79120d007b940212000057553604520400005303986540523.015802BR5907TIM S A6009SAO PAULO62290525R05000057553604120315584463045BB8</t>
  </si>
  <si>
    <t>313.604.592-00</t>
  </si>
  <si>
    <t>1.349040395</t>
  </si>
  <si>
    <t>00020126740014br.gov.bcb.pix013686b26441-94eb-4523-9e8a-79120d007b940212000054757003520400005303986540536.815802BR5907TIM S A6009SAO PAULO62290525R36000054757003110310291763047ED5</t>
  </si>
  <si>
    <t>737.810.022-68</t>
  </si>
  <si>
    <t>1.351377668</t>
  </si>
  <si>
    <t>015.714.212-46</t>
  </si>
  <si>
    <t>1.349390247</t>
  </si>
  <si>
    <t>00020126740014br.gov.bcb.pix013686b26441-94eb-4523-9e8a-79120d007b940212000057599873520400005303986540522.695802BR5907TIM S A6009SAO PAULO62290525R0500005759987316031158186304026A</t>
  </si>
  <si>
    <t>284.322.152-87</t>
  </si>
  <si>
    <t>1.349961557</t>
  </si>
  <si>
    <t>00020126740014br.gov.bcb.-pix013686b26441-94eb-4523-9e8a-79120d007b9402122700152758215204
00005303986540517.515802BR5907-TIM S A6009SAO
PAU-LO62290525R05270015275821130315
314963046624</t>
  </si>
  <si>
    <t>015.785.422-19</t>
  </si>
  <si>
    <t>1.348725435</t>
  </si>
  <si>
    <t>BRENDA</t>
  </si>
  <si>
    <t>00020126740014br.gov.bcb.-pix013686b26441-94eb-4523-9e8a-7
9120d007b9402120000547583615204
00005303986540528.485802-
BR5907TIM S A6009SAO
PAU-LO62290525R3600005475836113031
0190563042159</t>
  </si>
  <si>
    <t>837.960.532-20</t>
  </si>
  <si>
    <t>1.351256079</t>
  </si>
  <si>
    <t>PAU-LO62290525R05270015275821130315</t>
  </si>
  <si>
    <t>607.654.102-49</t>
  </si>
  <si>
    <t>1.348419455</t>
  </si>
  <si>
    <t>489.914.653-15</t>
  </si>
  <si>
    <t>1.348676347</t>
  </si>
  <si>
    <t>00020126740014br.gov.bcb.pix013686b26441-94eb-4523-9e8a-79120d007b940212000057498600520400005303986540510.295802BR5907TIM S A6009SAO PAULO62290525R05000057498600090316281463048EC3</t>
  </si>
  <si>
    <t>904.696.742-53</t>
  </si>
  <si>
    <t>1.349261001</t>
  </si>
  <si>
    <t>00020126740014br.gov.bcb.-pix013686b26441-94eb-4523-9e8a-7
9120d007b940212000057563339520
400005303986540540.595802-
BR5907TIM S A6009SAO
PAU-LO62290525R0500005756333913031
00701630494FE</t>
  </si>
  <si>
    <t>659.402.452-34</t>
  </si>
  <si>
    <t>1.350173538</t>
  </si>
  <si>
    <t>MARIANA</t>
  </si>
  <si>
    <t>00020126740014br.gov.bcb.pix013686b26441-94eb-4523-9e8a-79120d007b940212000057778531520400005303986540535.005802BR5907TIM S A6009SAO PAULO62290525R0500005777853125031443236304C857</t>
  </si>
  <si>
    <t>074.487.912-49</t>
  </si>
  <si>
    <t>1.350306820</t>
  </si>
  <si>
    <t>00020126740014br.gov.bcb.pix013686b26441-94eb-4523-9e8a-79120d007b940212000057499865520400005303986540520.585802BR5907TIM S A6009SAO PAULO62290525R0500005749986509031739286304657F</t>
  </si>
  <si>
    <t>990.711.262-34</t>
  </si>
  <si>
    <t>1.349399619</t>
  </si>
  <si>
    <t>00020126740014br.gov.bcb.pix013686b26441-94eb-4523-9e8a-79120d007b940212000057509326520400005303986540511.325802BR5907TIM S A6009SAO PAULO62290525R05000057509326100312190863046E7E</t>
  </si>
  <si>
    <t>646.268.302-34</t>
  </si>
  <si>
    <t>1.351372666</t>
  </si>
  <si>
    <t>019.063.102-38</t>
  </si>
  <si>
    <t>1.350084053</t>
  </si>
  <si>
    <t>00020126740014br.gov.bcb.pix013686b26441-94eb-4523-9e8a-79120d007b940212000057686852520400005303986540530.005802BR5907TIM S A6009SAO PAULO62290525R0500005768685220031141306304BEF0</t>
  </si>
  <si>
    <t>046.853.262-53</t>
  </si>
  <si>
    <t>1.349053742</t>
  </si>
  <si>
    <t>00020126740014br.gov.bcb.pix013686b26441-94eb-4523-9e8a-79120d007b940212000057552125520400005303986540531.885802BR5907TIM S A6009SAO PAULO62290525R05000057552125120314364763045EE9</t>
  </si>
  <si>
    <t>291.222.282-68</t>
  </si>
  <si>
    <t>1.349808338</t>
  </si>
  <si>
    <t>00020126740014br.gov.bcb.pix013686b26441-94eb-4523-9e8a-79120d007b940212000057608705520400005303986540525.005802BR5907TIM S A6009SAO PAULO62290525R0500005760870516031704296304A358</t>
  </si>
  <si>
    <t>660.693.782-53</t>
  </si>
  <si>
    <t>1.348774968</t>
  </si>
  <si>
    <t>00020126740014br.gov.bcb.pix013686b26441-94eb-4523-9e8a-79120d007b940212000054760936520400005303986540531.485802BR5907TIM S A6009SAO PAULO62290525R36000054760936180314095163041DE0</t>
  </si>
  <si>
    <t>055.846.174-31</t>
  </si>
  <si>
    <t>1.348778653</t>
  </si>
  <si>
    <t>00020126740014br.gov.bcb.pix013686b26441-94eb-4523-9e8a-79120d007b940212000054756958520400005303986540526.335802BR5907TIM S A6009SAO PAULO62290525R3600005475695811030947156304060D</t>
  </si>
  <si>
    <t>068.372.472-04</t>
  </si>
  <si>
    <t>1.348138558</t>
  </si>
  <si>
    <t>021.762.602-52</t>
  </si>
  <si>
    <t>1.349072128</t>
  </si>
  <si>
    <t>CLARA</t>
  </si>
  <si>
    <t>00020126740014br.gov.bcb.pix013686b26441-94eb-4523-9e8a-79120d007b940212000057508373520400005303986540522.925802BR5907TIM S A6009SAO PAULO62290525R0500005750837310031130116304E5F3</t>
  </si>
  <si>
    <t>072.568.092-04</t>
  </si>
  <si>
    <t>1.351546800</t>
  </si>
  <si>
    <t>896.049.975-72</t>
  </si>
  <si>
    <t>1.348165007</t>
  </si>
  <si>
    <t>00020126740014br.gov.bcb.pix013686b26441-94eb-4523-9e8a-79120d007b940212000054756405520400005303986540531.995802BR5907TIM S A6009SAO PAULO62290525R36000054756405100311324863047DE1</t>
  </si>
  <si>
    <t>105.092.595-53</t>
  </si>
  <si>
    <t>1.348236534</t>
  </si>
  <si>
    <t>00020126740014br.gov.bcb.pix013686b26441-94eb-4523-9e8a-79120d007b940212000054756074520400005303986540538.285802BR5907TIM S A6009SAO PAULO62290525R3600005475607409031702036304B1CE</t>
  </si>
  <si>
    <t>411.618.665-15</t>
  </si>
  <si>
    <t>1.351626108</t>
  </si>
  <si>
    <t>860.295.595-24</t>
  </si>
  <si>
    <t>1.349905230</t>
  </si>
  <si>
    <t>00020126740014br.gov.bcb.pix013686b26441-94eb-4523-9e8a-79120d007b940212000057605589520400005303986540530.385802BR5907TIM S A6009SAO PAULO62290525R05000057605589160315434563045892</t>
  </si>
  <si>
    <t>811.619.215-91</t>
  </si>
  <si>
    <t>1.349916368</t>
  </si>
  <si>
    <t>JULIA EQUILY</t>
  </si>
  <si>
    <t>00020126740014br.gov.bcb.pix013686b26441-94eb-4523-9e8a-79120d007b940212000057506816520400005303986540530.885802BR5907TIM S A6009SAO PAULO62290525R0500005750681610031019466304B1E9</t>
  </si>
  <si>
    <t>075.898.905-96</t>
  </si>
  <si>
    <t>1.348550088</t>
  </si>
  <si>
    <t>SANTOS</t>
  </si>
  <si>
    <t>00020126740014br.gov.bcb.pix013686b26441-94eb-4523-9e8a-79120d007b940212000054757252520400005303986540515.485802BR5907TIM S A6009SAO PAULO62290525R360000547572521103141616630493DE</t>
  </si>
  <si>
    <t>611.946.283-03</t>
  </si>
  <si>
    <t>1.347944272</t>
  </si>
  <si>
    <t xml:space="preserve"> RAUL</t>
  </si>
  <si>
    <t>00020126740014br.gov.bcb.pix013686b26441-94eb-4523-9e8a-79120d007b940212000054756091520400005303986540526.035802BR5907TIM S A6009SAO PAULO62290525R36000054756091090317280763043756</t>
  </si>
  <si>
    <t>090.384.693-49</t>
  </si>
  <si>
    <t>1.350104921</t>
  </si>
  <si>
    <t>00020126740014br.gov.bcb.pix013686b26441-94eb-4523-9e8a-79120d007b940212180017856313520400005303986540520.005802BR5907TIM S A6009SAO PAULO62290525R0518001785631309031525306304C23E</t>
  </si>
  <si>
    <t>669.058.183-72</t>
  </si>
  <si>
    <t>1.349841962</t>
  </si>
  <si>
    <t>00020126740014br.gov.bcb.pix013686b26441-94eb-4523-9e8a-79120d007b940212000057513604520400005303986540520.585802BR5907TIM S A6009SAO PAULO62290525R0500005751360410031540346304E4FE</t>
  </si>
  <si>
    <t>782.460.593-00</t>
  </si>
  <si>
    <t>1.350128054</t>
  </si>
  <si>
    <t>00020126740014br.gov.bcb.pix013686b26441-94eb-4523-9e8a-79120d007b940212000057508202520400005303986540533.965802BR5907TIM S A6009SAO PAULO62290525R0500005750820210031119586304E7B2</t>
  </si>
  <si>
    <t>655.487.446-15</t>
  </si>
  <si>
    <t>1.348164633</t>
  </si>
  <si>
    <t>00020126740014br.gov.bcb.pix013686b26441-94eb-4523-9e8a-79120d007b940212000054759693520400005303986540533.215802BR5907TIM S A6009SAO PAULO62290525R36000054759693160315002063040674</t>
  </si>
  <si>
    <t>118.947.006-35</t>
  </si>
  <si>
    <t>1.349731061</t>
  </si>
  <si>
    <t>00020126740014br.gov.bcb.pix013686b26441-94eb-4523-9e8a-79120d007b940212000057604889520400005303986540519.285802BR5907TIM S A6009SAO PAULO62290525R0500005760488916031516246304115B</t>
  </si>
  <si>
    <t>106.652.336-39</t>
  </si>
  <si>
    <t>1.348248845</t>
  </si>
  <si>
    <t>00020126740014br.gov.bcb.pix013686b26441-94eb-4523-9e8a-79120d007b940212000054756067520400005303986540532.455802BR5907TIM S A6009SAO PAULO62290525R36000054756067090316485463042318</t>
  </si>
  <si>
    <t>070.880.726-70</t>
  </si>
  <si>
    <t>1.348353545</t>
  </si>
  <si>
    <t>00020126740014br.gov.bcb.pix013686b26441-94eb-4523-9e8a-79120d007b940212000057508399520400005303986540529.595802BR5907TIM S A6009SAO PAULO62290525R0500005750839910031131296304D249</t>
  </si>
  <si>
    <t>064.692.916-00</t>
  </si>
  <si>
    <t>1.348456331</t>
  </si>
  <si>
    <t>00020126740014br.gov.bcb.-pix013686b26441-94eb-4523-9e8a-7 9120d007b940212000054758395520
400005303986540528.955802-
BR5907TIM S A6009SAO
PAU-LO62290525R3600005475839513031
0503963047BB5</t>
  </si>
  <si>
    <t>031.564.776-05</t>
  </si>
  <si>
    <t>1.348522820</t>
  </si>
  <si>
    <t>00020126740014br.gov.bcb.-pix013686b26441-94eb-4523-9e8a-7
9120d007b9402120000547583515204
00005303986540541.205802BR5907-TIM S A6009SAO
PAU-LO62290525R3600005475835113031
011056304FEC7</t>
  </si>
  <si>
    <t>519.163.716-04</t>
  </si>
  <si>
    <t>1.349464133</t>
  </si>
  <si>
    <t>00020126740014br.gov.bcb.-pix013686b26441-94eb-4523-9e8a-7 9120d007b940212000054758420520
400005303986540530.255802-
BR5907TIM S A6009SAO
PAU-LO62290525R3600005475842013031
1092963047EF9</t>
  </si>
  <si>
    <t>041.828.236-64</t>
  </si>
  <si>
    <t>1.349613347</t>
  </si>
  <si>
    <t>00020126740014br.gov.bcb.pix013686b26441-94eb-4523-9e8a-79120d007b940212000054759770520400005303986540531.965802BR5907TIM S A6009SAO PAULO62290525R3600005475977016031606316304EA35</t>
  </si>
  <si>
    <t>147.831.916-03</t>
  </si>
  <si>
    <t>1.349825703</t>
  </si>
  <si>
    <t>00020126740014br.gov.bcb.pix013686b26441-94eb-4523-9e8a-79120d007b940212000058043323520400005303986540561.425802BR5907TIM S A6009SAO PAULO62290525R0500005804332309040833546304AAFE</t>
  </si>
  <si>
    <t>021.646.286-08</t>
  </si>
  <si>
    <t>1.347894418</t>
  </si>
  <si>
    <t>00020126740014br.gov.bcb.-pix013686b26441-94eb-4523-9e8a-79120d007b9402120000575675505204
00005303986540530.005802-
BR5907TIM S A6009SAO
PAU-LO62290525R0500005756755013031
23251630456E4</t>
  </si>
  <si>
    <t>062.416.506-02</t>
  </si>
  <si>
    <t>1.348303778</t>
  </si>
  <si>
    <t>00020126740014br.gov.bcb.-pix013686b26441-94eb-4523-9e8a-7
9120d007b9402120000575620745204
00005303986540525.175802BR5907-TIM S A6009SAO
PAU-LO62290525R0500005756207413030
924036304C616</t>
  </si>
  <si>
    <t>445.248.546-49</t>
  </si>
  <si>
    <t>1.348258905</t>
  </si>
  <si>
    <t>00020126740014br.gov.bcb.-pix013686b26441-94eb-4523-9e8a-79120d007b9402120000547585015204
00005303986540521.735802BR5907-TIM S A6009SAO
AU-
LO62290525R3600005475850113031
227246304F481</t>
  </si>
  <si>
    <t>559.506.206-15</t>
  </si>
  <si>
    <t>1.349133764</t>
  </si>
  <si>
    <t>00020126740014br.gov.bcb.pix013686b26441-94eb-4523-9e8a-79120d007b940212000054759854520400005303986540525.825802BR5907TIM S A6009SAO PAULO62290525R36000054759854160318043263045D7E</t>
  </si>
  <si>
    <t>042.447.796-39</t>
  </si>
  <si>
    <t>1.347837058</t>
  </si>
  <si>
    <t>00020126740014br.gov.bcb.-pix013686b26441-94eb-4523-9e8a-79120d007b940212000054758504520
400005303986540537.275802-
BR5907TIM S A6009SAO
PAU-LO62290525R3600005475850413031
2311263048EBE</t>
  </si>
  <si>
    <t>125.769.526-66</t>
  </si>
  <si>
    <t>1.347884870</t>
  </si>
  <si>
    <t>MARCELA</t>
  </si>
  <si>
    <t>00020126740014br.gov.bcb.-pix013686b26441-94eb-4523-9e8a-79120d007b940212000054758493520
400005303986540538.645802-
BR5907TIM S A6009SAO
PAU-LO62290525R3600005475849313031
4323263041278</t>
  </si>
  <si>
    <t>080.463.076-37</t>
  </si>
  <si>
    <t>1.350186048</t>
  </si>
  <si>
    <t>00020126740014br.gov.bcb.-pix013686b26441-94eb-4523-9e8a-79120d007b940212000057564485520
400005303986540528.855802-
BR5907TIM S A6009SAO
PAU-LO62290525R0500005756448513031
047106304626C</t>
  </si>
  <si>
    <t>30.018.755/0001-84</t>
  </si>
  <si>
    <t>1.348521989</t>
  </si>
  <si>
    <t>00020126740014br.gov.bcb.pix013686b26441-94eb-4523-9e8a-79120d007b940212000057749762520400005303986540543.435802BR5907TIM S A6009SAO PAULO62290525R05000057749762240311515663040BD5</t>
  </si>
  <si>
    <t>014.929.686-09</t>
  </si>
  <si>
    <t>1.350821578</t>
  </si>
  <si>
    <t>00020126740014br.gov.bcb.-pix013686b26441-94eb-4523-9e8a-79120d007b940212000057569939520
400005303986540525.005802-
BR5907TIM S A6009SAO
PAU-LO62290525R0500005756993913031
406466304FF1E</t>
  </si>
  <si>
    <t>046.983.176-65</t>
  </si>
  <si>
    <t>1.347935140</t>
  </si>
  <si>
    <t>JÚLIA EQUILY</t>
  </si>
  <si>
    <t>00020126740014br.gov.bcb.-pix013686b26441-94eb-4523-9e8a-79120d007b940212000054758479520
400005303986540525.005802-
BR5907TIM S A6009SAO
PAU-LO62290525R3600005475847913031
21006630412CF</t>
  </si>
  <si>
    <t>030.099.836-89</t>
  </si>
  <si>
    <t>1.348106139</t>
  </si>
  <si>
    <t>00020126740014br.gov.bcb.pix013686b26441-94eb-4523-9e8a-79120d007b940212000057902446520400005303986540550.005802BR5907TIM S A6009SAO PAULO62290525R05000057902446300315203463046600</t>
  </si>
  <si>
    <t>023.285.376-26</t>
  </si>
  <si>
    <t>1.351509849</t>
  </si>
  <si>
    <t>056.720.716-19</t>
  </si>
  <si>
    <t>1.349611181</t>
  </si>
  <si>
    <t>00020126740014br.gov.bcb.pix013686b26441-94eb-4523-9e8a-79120d007b940212000057978206520400005303986540557.355802BR5907TIM S A6009SAO PAULO62290525R0500005797820606041205376304665F</t>
  </si>
  <si>
    <t>006.124.123-77</t>
  </si>
  <si>
    <t>1.351584198</t>
  </si>
  <si>
    <t>892.623.876-87</t>
  </si>
  <si>
    <t>1.350543492</t>
  </si>
  <si>
    <t>00020126740014br.gov.bcb.pix013686b26441-94eb-4523-9e8a-79120d007b940212000057604614520400005303986540530.005802BR5907TIM S A6009SAO PAULO62290525R050000576046141603150613630486E9</t>
  </si>
  <si>
    <t>004.023.506-85</t>
  </si>
  <si>
    <t>1.348175639</t>
  </si>
  <si>
    <t>00020126740014br.gov.bcb.-pix013686b26441-94eb-4523-9e8a-7
9120d007b940212000054758609520
400005303986540521.735802-
BR5907TIM S A6009SAO
PAU-LO62290525R3600005475860913031
4462663043418</t>
  </si>
  <si>
    <t>015.849.426-14</t>
  </si>
  <si>
    <t>1.349797348</t>
  </si>
  <si>
    <t>00020126740014br.gov.bcb.-pix013686b26441-94eb-4523-9e8a-7
9120d007b940212000057564730520
400005303986540525.005802-
BR5907TIM S A6009SAO
PAU-LO62290525R0500005756473013031
05449630479CB</t>
  </si>
  <si>
    <t>138.228.614-72</t>
  </si>
  <si>
    <t>1.347929907</t>
  </si>
  <si>
    <t>00020126740014br.gov.bcb.pix013686b26441-94eb-4523-9e8a-79120d007b940212000054758751520400005303986540530.005802BR5907TIM S A6009SAO PAULO62290525R360000547587511303174031630421DB</t>
  </si>
  <si>
    <t>015.876.014-00</t>
  </si>
  <si>
    <t>1.348227259</t>
  </si>
  <si>
    <t>00020126740014br.gov.bcb.-pix013686b26441-94eb-4523-9e8a-79120d007b9402120000547586195204
00005303986540522.945802-
BR5907TIM S A6009SAO
PAU-LO62290525R3600005475861913031
4534563045198</t>
  </si>
  <si>
    <t>113.398.414-28</t>
  </si>
  <si>
    <t>1.349614876</t>
  </si>
  <si>
    <t>ANA CLARA</t>
  </si>
  <si>
    <t>00020126740014br.gov.bcb.pix013686b26441-94eb-4523-9e8a-79120d007b940212000054759571520400005303986540525.645802BR5907TIM S A6009SAO PAULO62290525R3600005475957116031225536304004F</t>
  </si>
  <si>
    <t>081.776.317-13</t>
  </si>
  <si>
    <t>1.350179475</t>
  </si>
  <si>
    <t>00020126740014br.gov.bcb.-pix013686b26441-94eb-4523-9e8a-7
9120d007b9402122700152754275204
00005303986540514.805802BR5907-TIM S A6009SAO
PAU-LO62290525R05270015275427130315
151463048807</t>
  </si>
  <si>
    <t>036.839.884-60</t>
  </si>
  <si>
    <t>1.349279792</t>
  </si>
  <si>
    <t>00020126740014br.gov.bcb.pix013686b26441-94eb-4523-9e8a-79120d007b940212000057598926520400005303986540527.975802BR5907TIM S A6009SAO PAULO62290525R0500005759892616031126586304478F</t>
  </si>
  <si>
    <t>341.906.433-00</t>
  </si>
  <si>
    <t>1.351574091</t>
  </si>
  <si>
    <t>061.512.664-20</t>
  </si>
  <si>
    <t>1.349277921</t>
  </si>
  <si>
    <t>00020126740014br.gov.bcb.pix013686b26441-94eb-4523-9e8a-79120d007b940212200017959929520400005303986540527.885802BR5907TIM S A6009SAO PAULO62290525R05200017959929160314545963043748</t>
  </si>
  <si>
    <t>200.957.084-72</t>
  </si>
  <si>
    <t>1.348036905</t>
  </si>
  <si>
    <t>00020126740014br.gov.bcb. pix013686b26441-94eb-4523- 9e8a- 79120d007b94021200005476021352 0400005303986540518. 005802BR5907TIM S A6009SAO PAULO62290525R3600005476021317 031141536304F6FE</t>
  </si>
  <si>
    <t>009.588.074-77</t>
  </si>
  <si>
    <t>1.349040559</t>
  </si>
  <si>
    <t>182.416.034-87</t>
  </si>
  <si>
    <t>1.347823034</t>
  </si>
  <si>
    <t>00020126740014br.gov.bcb.-9120d007b940212000057573098520
400005303986540514.835802-
BR5907TIM S A6009SAO
PAU-LO62290525R0500005757309813031
701246304015Bpix013686b26441-94eb-4523-9e8a-7</t>
  </si>
  <si>
    <t>297.219.204-44</t>
  </si>
  <si>
    <t>1.350347082</t>
  </si>
  <si>
    <t>00020126740014br.gov.bcb.pix013686b26441-94eb-4523-9e8a-79120d007b940212005678349821520400005303986540529.995802BR5907TIM S A6009SAO PAULO62290525R1500567834982125031445596304D12C</t>
  </si>
  <si>
    <t>412.543.684-34</t>
  </si>
  <si>
    <t>1.349910492</t>
  </si>
  <si>
    <t>838.739.454-87</t>
  </si>
  <si>
    <t>1.351619218</t>
  </si>
  <si>
    <t>057.650.994-91</t>
  </si>
  <si>
    <t>1.350120965</t>
  </si>
  <si>
    <t>00020126740014br.gov.bcb.-pix013686b26441-94eb-4523-9e8a-79120d007b9402122700152753615204
00005303986540521.635802BR5907-TIM S A6009SAO
PAU-LO62290525R05270015275361130315
1118630421D5</t>
  </si>
  <si>
    <t>851.908.884-87</t>
  </si>
  <si>
    <t>1.351542360</t>
  </si>
  <si>
    <t>750.842.014-49</t>
  </si>
  <si>
    <t>1.351508829</t>
  </si>
  <si>
    <t>135.233.957-98</t>
  </si>
  <si>
    <t>1.347833057</t>
  </si>
  <si>
    <t>00020126740014br.gov.bcb.-pix013686b26441-94eb-4523-9e8a-79120d007b940212000054758683520
400005303986540533.225802-
BR5907TIM S A6009SAO
PAU-LO62290525R3600005475868313031
558366304CE62</t>
  </si>
  <si>
    <t>789.044.204-15</t>
  </si>
  <si>
    <t>1.347863909</t>
  </si>
  <si>
    <t>387.746.742-34</t>
  </si>
  <si>
    <t>1.348297627</t>
  </si>
  <si>
    <t>400005303986540533.225802-</t>
  </si>
  <si>
    <t>558366304CE62</t>
  </si>
  <si>
    <t>00020126740014br.gov.bcb.pix013686b26441-94eb-4523-9e8a-79120d007b940212000057530188520400005303986540526.375802BR5907TIM S A6009SAO PAULO62290525R0500005753018811031521346304E4E6</t>
  </si>
  <si>
    <t>17604180000113</t>
  </si>
  <si>
    <t>7.2178193</t>
  </si>
  <si>
    <t>00020126740014br.gov.bcb.pix013686b26441-94eb-4523-9e8a-79120d007b94021200005752622152040000530398654046.575802BR5907TIM S A6009SAO PAULO62290525R0500005752622111031229146304DE74</t>
  </si>
  <si>
    <t>00020126740014br.gov.bcb.pix013686b26441-94eb-4523-9e8a-79120d007b940212000057528286520400005303986540514.535802BR5907TIM S A6009SAO PAULO62290525R05000057528286110314000163040A87</t>
  </si>
  <si>
    <t>35204414000117</t>
  </si>
  <si>
    <t>7.2179415</t>
  </si>
  <si>
    <t>00020126740014br.gov.bcb.pix013686b26441-94eb-4523-9e8a-79120d007b940212000057524818520400005303986540515.215802BR5907TIM S A6009SAO PAULO62290525R0500005752481811031118586304101E</t>
  </si>
  <si>
    <t>45365931000121</t>
  </si>
  <si>
    <t>7.2177705.10</t>
  </si>
  <si>
    <t>00020126740014br.gov.bcb.pix013686b26441-94eb-4523-9e8a-79120d007b94021200005752405352040000530398654045.115802BR5907TIM S A6009SAO PAULO62290525R0500005752405311031052396304606C</t>
  </si>
  <si>
    <t>04582389000181</t>
  </si>
  <si>
    <t>7.2176582</t>
  </si>
  <si>
    <t>00020126740014br.gov.bcb.pix013686b26441-94eb-4523-9e8a-79120d007b940212000057531080520400005303986540538.985802BR5907TIM S A6009SAO PAULO62290525R0500005753108011031600556304512A</t>
  </si>
  <si>
    <t>00020126740014br.gov.bcb.pix013686b26441-94eb-4523-9e8a-79120d007b940212000057528268520400005303986540522.505802BR5907TIM S A6009SAO PAULO62290525R05000057528268110313590363047106</t>
  </si>
  <si>
    <t>00020126740014br.gov.bcb.pix013686b26441-94eb-4523-9e8a-79120d007b940212000057525558520400005303986540510.005802BR5907TIM S A6009SAO PAULO62290525R0500005752555811031145236304D5B3</t>
  </si>
  <si>
    <t>00020126740014br.gov.bcb.pix013686b26441-94eb-4523-9e8a-79120d007b940212000057530082520400005303986540547.685802BR5907TIM S A6009SAO PAULO62290525R05000057530082110315394063046E19</t>
  </si>
  <si>
    <t>00020126740014br.gov.bcb.pix013686b26441-94eb-4523-9e8a-79120d007b940212000057527765520400005303986540518.555802BR5907TIM S A6009SAO PAULO62290525R05000057527765110315190063048C56</t>
  </si>
  <si>
    <t>29904387000192</t>
  </si>
  <si>
    <t>7.2173506</t>
  </si>
  <si>
    <t>00020126740014br.gov.bcb.pix013686b26441-94eb-4523-9e8a-79120d007b940212000057524559520400005303986540541.035802BR5907TIM S A6009SAO PAULO62290525R0500005752455911031131116304570E</t>
  </si>
  <si>
    <t>06878348000243</t>
  </si>
  <si>
    <t>7.2171315</t>
  </si>
  <si>
    <t>00020126740014br.gov.bcb.pix013686b26441-94eb-4523-9e8a-79120d007b940212000054757141520400005303986540517.805802BR5907TIM S A6009SAO PAULO62290525R36000054757141110314093763045744</t>
  </si>
  <si>
    <t>23518673000133</t>
  </si>
  <si>
    <t>7.2170278</t>
  </si>
  <si>
    <t>00020126740014br.gov.bcb.pix013686b26441-94eb-4523-9e8a-79120d007b940212000054757286520400005303986540517.905802BR5907TIM S A6009SAO PAULO62290525R3600005475728611031443446304A6FF</t>
  </si>
  <si>
    <t>63212807000108</t>
  </si>
  <si>
    <t>7.2170083</t>
  </si>
  <si>
    <t>00020126740014br.gov.bcb.pix013686b26441-94eb-4523-9e8a-79120d007b940212000054757350520400005303986540528.105802BR5907TIM S A6009SAO PAULO62290525R36000054757350110316524563046BF0</t>
  </si>
  <si>
    <t>08109360000138</t>
  </si>
  <si>
    <t>7.2169140</t>
  </si>
  <si>
    <t>00020126740014br.gov.bcb.pix013686b26441-94eb-4523-9e8a-79120d007b940212000054757332520400005303986540553.165802BR5907TIM S A6009SAO PAULO62290525R3600005475733211031538086304D027</t>
  </si>
  <si>
    <t>17277411000121</t>
  </si>
  <si>
    <t>7.2169046</t>
  </si>
  <si>
    <t>00020126740014br.gov.bcb.pix013686b26441-94eb-4523-9e8a-79120d007b940212000057528817520400005303986540514.685802BR5907TIM S A6009SAO PAULO62290525R05000057528817110314231863043EB8</t>
  </si>
  <si>
    <t>55163424000169</t>
  </si>
  <si>
    <t>7.2170714.10</t>
  </si>
  <si>
    <t>00020126740014br.gov.bcb.pix013686b26441-94eb-4523-9e8a-79120d007b940212000054757273520400005303986540521.875802BR5907TIM S A6009SAO PAULO62290525R3600005475727311031428286304A474</t>
  </si>
  <si>
    <t>04887442000152</t>
  </si>
  <si>
    <t>7.1007796.10.14</t>
  </si>
  <si>
    <t>00020126740014br.gov.bcb.pix013686b26441-94eb-4523-9e8a-79120d007b9402120000547572505204000053039865406280.855802BR5907TIM S A6009SAO PAULO62290525R360000547572501103140734630435B7</t>
  </si>
  <si>
    <t>53923624000147</t>
  </si>
  <si>
    <t>7.2164535</t>
  </si>
  <si>
    <t>00020126740014br.gov.bcb.pix013686b26441-94eb-4523-9e8a-79120d007b940212000054757255520400005303986540519.985802BR5907TIM S A6009SAO PAULO62290525R36000054757255110314151163045849</t>
  </si>
  <si>
    <t>20926100000150</t>
  </si>
  <si>
    <t>7.2166815.10</t>
  </si>
  <si>
    <t>00020126740014br.gov.bcb.pix013686b26441-94eb-4523-9e8a-79120d007b940212000054759471520400005303986540545.725802BR5907TIM S A6009SAO PAULO62290525R3600005475947116031044586304B445</t>
  </si>
  <si>
    <t>01274145000143</t>
  </si>
  <si>
    <t>7.2161501.10</t>
  </si>
  <si>
    <t>00020126740014br.gov.bcb.pix013686b26441-94eb-4523-9e8a-79120d007b940212000054757297520400005303986540541.905802BR5907TIM S A6009SAO PAULO62290525R3600005475729711031454066304E759</t>
  </si>
  <si>
    <t>27261566000123</t>
  </si>
  <si>
    <t>7.2155916.10</t>
  </si>
  <si>
    <t>00020126740014br.gov.bcb.pix013686b26441-94eb-4523-9e8a-79120d007b940212000054757269520400005303986540533.145802BR5907TIM S A6009SAO PAULO62290525R3600005475726911031424326304E031</t>
  </si>
  <si>
    <t>21749500000109</t>
  </si>
  <si>
    <t>7.2157365</t>
  </si>
  <si>
    <t>00020126740014br.gov.bcb.pix013686b26441-94eb-4523-9e8a-79120d007b9402120000547598455204000053039865406616.625802BR5907TIM S A6009SAO PAULO62290525R36000054759845160317540763040794</t>
  </si>
  <si>
    <t>57530892000150</t>
  </si>
  <si>
    <t>7.2156670.10</t>
  </si>
  <si>
    <t>00020126740014br.gov.bcb.pix013686b26441-94eb-4523-9e8a-79120d007b940212000054757260520400005303986540547.405802BR5907TIM S A6009SAO PAULO62290525R3600005475726011031449146304F466</t>
  </si>
  <si>
    <t>17851439000120</t>
  </si>
  <si>
    <t>7.2143544</t>
  </si>
  <si>
    <t>00020126740014br.gov.bcb.pix013686b26441-94eb-4523-9e8a-79120d007b940212000054757127520400005303986540513.975802BR5907TIM S A6009SAO PAULO62290525R36000054757127110312144163047E0D</t>
  </si>
  <si>
    <t>23057653000102</t>
  </si>
  <si>
    <t>7.1965538.10</t>
  </si>
  <si>
    <t>00020126740014br.gov.bcb.pix013686b26441-94eb-4523-9e8a-79120d007b94021200005476009552040000530398654071382.125802BR5907TIM S A6009SAO PAULO62290525R3600005476009517030939026304B08F</t>
  </si>
  <si>
    <t>024.815.112-63</t>
  </si>
  <si>
    <t>1.349450557</t>
  </si>
  <si>
    <t>00020126740014br.gov.bcb.pix013686b26441-94eb-4523-9e8a-79120d007b940212000054760246520400005303986540534.095802BR5907TIM S A6009SAO PAULO62290525R3600005476024617031207076304164A</t>
  </si>
  <si>
    <t>474.901.282-34</t>
  </si>
  <si>
    <t>1.349411631</t>
  </si>
  <si>
    <t>00020126740014br.gov.bcb.pix013686b26441-94eb-4523-9e8a-79120d007b940212000054760266520400005303986540536.435802BR5907TIM S A6009SAO PAULO62290525R36000054760266170312595463040A8A</t>
  </si>
  <si>
    <t>964.072.552-87</t>
  </si>
  <si>
    <t>1.347935903</t>
  </si>
  <si>
    <t>00020126740014br.gov.bcb.pix013686b26441-94eb-4523-9e8a-79120d007b940212000054760774520400005303986540533.405802BR5907TIM S A6009SAO PAULO62290525R36000054760774180310331363045491</t>
  </si>
  <si>
    <t>008.509.992-94</t>
  </si>
  <si>
    <t>1.350254458</t>
  </si>
  <si>
    <t>00020126740014br.gov.bcb.pix013686b26441-94eb-4523-9e8a-79120d007b940212000057633978520400005303986540510.305802BR5907TIM S A6009SAO PAULO62290525R0500005763397817031659046304F126</t>
  </si>
  <si>
    <t>214.706.852-72</t>
  </si>
  <si>
    <t>1.348549670</t>
  </si>
  <si>
    <t>00020126740014br.gov.bcb.pix013686b26441-94eb-4523-9e8a-79120d007b940212000054760840520400005303986540528.805802BR5907TIM S A6009SAO PAULO62290525R3600005476084018031156246304738C</t>
  </si>
  <si>
    <t>036.020.242-02</t>
  </si>
  <si>
    <t>1.348981702</t>
  </si>
  <si>
    <t>703.314.382-67</t>
  </si>
  <si>
    <t>1.348488753</t>
  </si>
  <si>
    <t>00020126740014br.gov.bcb.pix013686b26441-94eb-4523-9e8a-79120d007b940212000054760258520400005303986540539.205802BR5907TIM S A6009SAO PAULO62290525R36000054760258170312211463042893</t>
  </si>
  <si>
    <t>738.587.652-87</t>
  </si>
  <si>
    <t>1.350504198</t>
  </si>
  <si>
    <t>00020126740014br.gov.bcb.pix013686b26441-94eb-4523-9e8a-79120d007b940212020021260156520400005303986540515.275802BR5907TIM S A6009SAO PAULO62290525R0502002126015620031205346304D228</t>
  </si>
  <si>
    <t>018.198.272-24</t>
  </si>
  <si>
    <t>1.349871828</t>
  </si>
  <si>
    <t>00020126740014br.gov.bcb.pix013686b26441-94eb-4523-9e8a-79120d007b940212000057686119520400005303986540520.005802BR5907TIM S A6009SAO PAULO62290525R05000057686119200311113563048701</t>
  </si>
  <si>
    <t>586.976.082-87</t>
  </si>
  <si>
    <t>1.349256284</t>
  </si>
  <si>
    <t>00020126740014br.gov.bcb.pix013686b26441-94eb-4523-9e8a-79120d007b940212000057634040520400005303986540529.095802BR5907TIM S A6009SAO PAULO62290525R05000057634040170317012663048136</t>
  </si>
  <si>
    <t>247.230.612-15</t>
  </si>
  <si>
    <t>1.347631921</t>
  </si>
  <si>
    <t>00020126740014br.gov.bcb.pix013686b26441-94eb-4523-9e8a-79120d007b940212000054760963520400005303986540541.105802BR5907TIM S A6009SAO PAULO62290525R36000054760963180314425963049185</t>
  </si>
  <si>
    <t>026.442.922-20</t>
  </si>
  <si>
    <t>1.348451671</t>
  </si>
  <si>
    <t>00020126740014br.gov.bcb.pix013686b26441-94eb-4523-9e8a-79120d007b940212000057631463520400005303986540523.165802BR5907TIM S A6009SAO PAULO62290525R0500005763146317031522066304CF06</t>
  </si>
  <si>
    <t>569.656.722-34</t>
  </si>
  <si>
    <t>1.349908963</t>
  </si>
  <si>
    <t>00020126740014br.gov.bcb.pix013686b26441-94eb-4523-9e8a-79120d007b940212000057633813520400005303986540520.605802BR5907TIM S A6009SAO PAULO62290525R0500005763381317031653376304D450</t>
  </si>
  <si>
    <t>045.092.642-75</t>
  </si>
  <si>
    <t>1.348229033</t>
  </si>
  <si>
    <t>00020126740014br.gov.bcb.pix013686b26441-94eb-4523-9e8a-79120d007b940212000057629059520400005303986540524.735802BR5907TIM S A6009SAO PAULO62290525R050000576290591703140135630436B9</t>
  </si>
  <si>
    <t>525.732.222-68</t>
  </si>
  <si>
    <t>1.348480788</t>
  </si>
  <si>
    <t>00020126740014br.gov.bcb.pix013686b26441-94eb-4523-9e8a-79120d007b940212000054760443520400005303986540537.285802BR5907TIM S A6009SAO PAULO62290525R36000054760443170315590763044B0F</t>
  </si>
  <si>
    <t>018.037.822-85</t>
  </si>
  <si>
    <t>1.349254376</t>
  </si>
  <si>
    <t>00020126740014br.gov.bcb.pix013686b26441-94eb-4523-9e8a-79120d007b940212000054760488520400005303986540542.025802BR5907TIM S A6009SAO PAULO62290525R36000054760488170317064663047E0E</t>
  </si>
  <si>
    <t>011.119.782-12</t>
  </si>
  <si>
    <t>1.348643905</t>
  </si>
  <si>
    <t xml:space="preserve">00020126740014br.gov.bcb.pix013686b26441-94eb-4523-9e8a-79120d007b940212000057631253520400005303986540545.545802BR5907TIM S A6009SAO PAULO62290525R0500005763125317031514186304D9C8 </t>
  </si>
  <si>
    <t>833.457.442-87</t>
  </si>
  <si>
    <t>1.348458716</t>
  </si>
  <si>
    <t>00020126740014br.gov.bcb.pix013686b26441-94eb-4523-9e8a-79120d007b940212000054760397520400005303986540536.945802BR5907TIM S A6009SAO PAULO62290525R36000054760397170315192763042A5E</t>
  </si>
  <si>
    <t>524.233.602-15</t>
  </si>
  <si>
    <t>1.350133409</t>
  </si>
  <si>
    <t>00020126740014br.gov.bcb.pix013686b26441-94eb-4523-9e8a-79120d007b940212000057671301520400005303986540535.045802BR5907TIM S A6009SAO PAULO62290525R0500005767130119031445176304A02E</t>
  </si>
  <si>
    <t>243.159.152-20</t>
  </si>
  <si>
    <t>1.349060852</t>
  </si>
  <si>
    <t>00020126740014br.gov.bcb.pix013686b26441-94eb-4523-9e8a-79120d007b940212000054764848520400005303986540517.085802BR5907TIM S A6009SAO PAULO62290525R3600005476484826031107466304A4CF</t>
  </si>
  <si>
    <t>077.866.622-00</t>
  </si>
  <si>
    <t>1.350343520</t>
  </si>
  <si>
    <t>ANTONY</t>
  </si>
  <si>
    <t>00020126740014br.gov.bcb.pix013686b26441-94eb-4523-9e8a-79120d007b940212000057648616520400005303986540540.605802BR5907TIM S A6009SAO PAULO62290525R0500005764861618031204546304732F</t>
  </si>
  <si>
    <t>839.514.072-04</t>
  </si>
  <si>
    <t>1.351436704</t>
  </si>
  <si>
    <t>00020126740014br.gov.bcb.pix013686b26441-94eb-4523-9e8a-79120d007b940212000058025181520400005303986540530.005802BR5907TIM S A6009SAO PAULO62290525R05000058025181080411080263044077</t>
  </si>
  <si>
    <t>679.506.982-68</t>
  </si>
  <si>
    <t>1.349908539</t>
  </si>
  <si>
    <t>00020126740014br.gov.bcb.pix013686b26441-94eb-4523-9e8a-79120d007b940212000054760805520400005303986540534.085802BR5907TIM S A6009SAO PAULO62290525R36000054760805180311512863045129</t>
  </si>
  <si>
    <t>023.619.012-18</t>
  </si>
  <si>
    <t>1.349792754</t>
  </si>
  <si>
    <t>00020126740014br.gov.bcb.pix013686b26441-94eb-4523-9e8a-79120d007b940212000057630820520400005303986540522.475802BR5907TIM S A6009SAO PAULO62290525R0500005763082017031501166304ABEC</t>
  </si>
  <si>
    <t>003.351.052-03</t>
  </si>
  <si>
    <t>1.350303076</t>
  </si>
  <si>
    <t>00020126740014br.gov.bcb.pix013686b26441-94eb-4523-9e8a-79120d007b940212000057665101520400005303986540517.525802BR5907TIM S A6009SAO PAULO62290525R05000057665101190310313463045894</t>
  </si>
  <si>
    <t>742.411.252-04</t>
  </si>
  <si>
    <t>1.350351948</t>
  </si>
  <si>
    <t>00020126740014br.gov.bcb.pix013686b26441-94eb-4523-9e8a-79120d007b940212000057663143520400005303986540527.825802BR5907TIM S A6009SAO PAULO62290525R0500005766314319030917396304ED4B</t>
  </si>
  <si>
    <t>908.915.202-44</t>
  </si>
  <si>
    <t>1.349927227</t>
  </si>
  <si>
    <t>00020126740014br.gov.bcb.pix013686b26441-94eb-4523-9e8a-79120d007b940212000054761044520400005303986540550.585802BR5907TIM S A6009SAO PAULO62290525R36000054761044180316435263042DB9</t>
  </si>
  <si>
    <t>008.297.962-66</t>
  </si>
  <si>
    <t>1.348509814</t>
  </si>
  <si>
    <t>00020126740014br.gov.bcb.pix013686b26441-94eb-4523-9e8a-79120d007b940212000057671580520400005303986540531.775802BR5907TIM S A6009SAO PAULO62290525R050000576715801903145429630477FE</t>
  </si>
  <si>
    <t>882.619.642-72</t>
  </si>
  <si>
    <t>1.348795360</t>
  </si>
  <si>
    <t>00020126740014br.gov.bcb.pix013686b26441-94eb-4523-9e8a-79120d007b940212000057671926520400005303986540541.165802BR5907TIM S A6009SAO PAULO62290525R0500005767192619031506396304BA16</t>
  </si>
  <si>
    <t>815.503.752-53</t>
  </si>
  <si>
    <t>1.349015058</t>
  </si>
  <si>
    <t>00020126740014br.gov.bcb.pix013686b26441-94eb-4523-9e8a-79120d007b940212000054761292520400005303986540528.045802BR5907TIM S A6009SAO PAULO62290525R36000054761292190309444963043600</t>
  </si>
  <si>
    <t>031.959.182-42</t>
  </si>
  <si>
    <t>1.348939572</t>
  </si>
  <si>
    <t>00020126740014br.gov.bcb.pix013686b26441-94eb-4523-9e8a-79120d007b940212000054761383520400005303986540533.265802BR5907TIM S A6009SAO PAULO62290525R36000054761383190311215563043B2D</t>
  </si>
  <si>
    <t>314.203.622-91</t>
  </si>
  <si>
    <t>1.348111294</t>
  </si>
  <si>
    <t>00020126740014br.gov.bcb.pix013686b26441-94eb-4523-9e8a-79120d007b940212000054761385520400005303986540531.055802BR5907TIM S A6009SAO PAULO62290525R36000054761385190311225363049519</t>
  </si>
  <si>
    <t>011.675.562-83</t>
  </si>
  <si>
    <t>1.348443522</t>
  </si>
  <si>
    <t>00020126740014br.gov.bcb.pix013686b26441-94eb-4523-9e8a-79120d007b940212000057901257520400005303986540543.095802BR5907TIM S A6009SAO PAULO62290525R05000057901257300314432263048D40</t>
  </si>
  <si>
    <t>742.325.762-15</t>
  </si>
  <si>
    <t>1.350070244</t>
  </si>
  <si>
    <t>00020126740014br.gov.bcb.pix013686b26441-94eb-4523-9e8a-79120d007b940212000057673592520400005303986540520.615802BR5907TIM S A6009SAO PAULO62290525R05000057673592190316044063043FDC</t>
  </si>
  <si>
    <t>009.810.422-52</t>
  </si>
  <si>
    <t>1.349898772</t>
  </si>
  <si>
    <t>00020126740014br.gov.bcb.pix013686b26441-94eb-4523-9e8a-79120d007b940212000057777659520400005303986540524.585802BR5907TIM S A6009SAO PAULO62290525R05000057777659250314185663048387</t>
  </si>
  <si>
    <t>672.739.982-49</t>
  </si>
  <si>
    <t>1.350069749</t>
  </si>
  <si>
    <t>00020126740014br.gov.bcb.pix013686b26441-94eb-4523-9e8a-79120d007b940212000057693066520400005303986540526.005802BR5907TIM S A6009SAO PAULO62290525R0500005769306620031515176304D5A6</t>
  </si>
  <si>
    <t>007.809.212-40</t>
  </si>
  <si>
    <t>1.348832795</t>
  </si>
  <si>
    <t>00020126740014br.gov.bcb.pix013686b26441-94eb-4523-9e8a-79120d007b940212000057768079520400005303986540546.475802BR5907TIM S A6009SAO PAULO62290525R0500005776807925030929326304F1B8</t>
  </si>
  <si>
    <t>200.518.322-91</t>
  </si>
  <si>
    <t>1.348039054</t>
  </si>
  <si>
    <t>00020126740014br.gov.bcb.pix013686b26441-94eb-4523-9e8a-79120d007b940212300015428280520400005303986540540.005802BR5907TIM S A6009SAO PAULO62290525R0530001542828016041327306304F5CE</t>
  </si>
  <si>
    <t>242.634.352-49</t>
  </si>
  <si>
    <t>1.349177297</t>
  </si>
  <si>
    <t>00020126740014br.gov.bcb.pix013686b26441-94eb-4523-9e8a-79120d007b940212000057774195520400005303986540537.995802BR5907TIM S A6009SAO PAULO62290525R0500005777419525031215166304DF87</t>
  </si>
  <si>
    <t>053.953.992-91</t>
  </si>
  <si>
    <t>1.348248177</t>
  </si>
  <si>
    <t>00020126740014br.gov.bcb.pix013686b26441-94eb-4523-9e8a-79120d007b940212000054761472520400005303986540532.545802BR5907TIM S A6009SAO PAULO62290525R3600005476147219031311356304EBD6</t>
  </si>
  <si>
    <t>975.418.262-00</t>
  </si>
  <si>
    <t>1.348234722</t>
  </si>
  <si>
    <t>00020126740014br.gov.bcb.pix013686b26441-94eb-4523-9e8a-79120d007b940212000054761432520400005303986540527.965802BR5907TIM S A6009SAO PAULO62290525R36000054761432190312165063040ABA</t>
  </si>
  <si>
    <t>744.223.912-91</t>
  </si>
  <si>
    <t>1.350003991</t>
  </si>
  <si>
    <t>00020126740014br.gov.bcb.pix013686b26441-94eb-4523-9e8a-79120d007b940212000057669938520400005303986540530.005802BR5907TIM S A6009SAO PAULO62290525R05000057669938190314030263044FF5</t>
  </si>
  <si>
    <t>789.626.332-72</t>
  </si>
  <si>
    <t>1.351780575</t>
  </si>
  <si>
    <t>000.092.186-61</t>
  </si>
  <si>
    <t>1.350515002</t>
  </si>
  <si>
    <t>00020126740014br.gov.bcb.pix013686b26441-94eb-4523-9e8a-79120d007b940212000057755881520400005303986540510.325802BR5907TIM S A6009SAO PAULO62290525R05000057755881240315411663049DC0</t>
  </si>
  <si>
    <t>048.394.392-49</t>
  </si>
  <si>
    <t>1.349658270</t>
  </si>
  <si>
    <t>00020126740014br.gov.bcb.pix013686b26441-94eb-4523-9e8a-79120d007b940212000057685824520400005303986540521.035802BR5907TIM S A6009SAO PAULO62290525R05000057685824200311033063046F35</t>
  </si>
  <si>
    <t>007.032.412-30</t>
  </si>
  <si>
    <t>1.349301157</t>
  </si>
  <si>
    <t>00020126740014br.gov.bcb.pix013686b26441-94eb-4523-9e8a-79120d007b940212000057687773520400005303986540519.415802BR5907TIM S A6009SAO PAULO62290525R0500005768777320031204426304AAD7</t>
  </si>
  <si>
    <t>313.672.402-04</t>
  </si>
  <si>
    <t>1.350074037</t>
  </si>
  <si>
    <t>00020126740014br.gov.bcb.pix013686b26441-94eb-4523-9e8a-79120d007b940212000057686187520400005303986540517.525802BR5907TIM S A6009SAO PAULO62290525R05000057686187200311134163045699</t>
  </si>
  <si>
    <t>264.417.132-68</t>
  </si>
  <si>
    <t>1.348381203</t>
  </si>
  <si>
    <t>00020126740014br.gov.bcb.pix013686b26441-94eb-4523-9e8a-79120d007b940212000054761430520400005303986540538.935802BR5907TIM S A6009SAO PAULO62290525R36000054761430190312133463041E73</t>
  </si>
  <si>
    <t>037.873.722-88</t>
  </si>
  <si>
    <t>1.348763577</t>
  </si>
  <si>
    <t>00020126740014br.gov.bcb.pix013686b26441-94eb-4523-9e8a-79120d007b940212000054764916520400005303986540527.265802BR5907TIM S A6009SAO PAULO62290525R3600005476491626031216276304F5DE</t>
  </si>
  <si>
    <t>338.945.402-06</t>
  </si>
  <si>
    <t>1.351833959</t>
  </si>
  <si>
    <t>880.951.422-04</t>
  </si>
  <si>
    <t>1.349913106</t>
  </si>
  <si>
    <t>00020126740014br.gov.bcb.pix013686b26441-94eb-4523-9e8a-79120d007b940212000057671886520400005303986540517.525802BR5907TIM S A6009SAO PAULO62290525R0500005767188619031504296304A7E9</t>
  </si>
  <si>
    <t>094.367.292-94</t>
  </si>
  <si>
    <t>1.349184680</t>
  </si>
  <si>
    <t>00020126740014br.gov.bcb.pix013686b26441-94eb-4523-9e8a-79120d007b940212000057668611520400005303986540511.535802BR5907TIM S A6009SAO PAULO62290525R0500005766861119031237176304E29D</t>
  </si>
  <si>
    <t>862.804.812-04</t>
  </si>
  <si>
    <t>1.349520033</t>
  </si>
  <si>
    <t>00020126740014br.gov.bcb.pix013686b26441-94eb-4523-9e8a-79120d007b940212000054761490520400005303986540556.445802BR5907TIM S A6009SAO PAULO62290525R3600005476149019031328126304E65F</t>
  </si>
  <si>
    <t>719.178.452-00</t>
  </si>
  <si>
    <t>1.348266184</t>
  </si>
  <si>
    <t>476.332.552-34</t>
  </si>
  <si>
    <t>1.348507520</t>
  </si>
  <si>
    <t>00020126740014br.gov.bcb.pix013686b26441-94eb-4523-9e8a-79120d007b940212000057732369520400005303986540530.005802BR5907TIM S A6009SAO PAULO62290525R0500005773236923031545376304FC5D</t>
  </si>
  <si>
    <t>514.091.942-72</t>
  </si>
  <si>
    <t>1.350466522</t>
  </si>
  <si>
    <t>00020126740014br.gov.bcb.pix013686b26441-94eb-4523-9e8a-79120d007b940212000057673834520400005303986540520.615802BR5907TIM S A6009SAO PAULO62290525R050000576738341903161455630445DD</t>
  </si>
  <si>
    <t>016.051.395-21</t>
  </si>
  <si>
    <t>1.349034083</t>
  </si>
  <si>
    <t>00020126740014br.gov.bcb.pix013686b26441-94eb-4523-9e8a-79120d007b940212000057674510520400005303986540523.115802BR5907TIM S A6009SAO PAULO62290525R0500005767451019031646496304470F</t>
  </si>
  <si>
    <t>144.632.295-53</t>
  </si>
  <si>
    <t>1.348325845</t>
  </si>
  <si>
    <t>00020126740014br.gov.bcb.pix013686b26441-94eb-4523-9e8a-79120d007b940212000054761603520400005303986540546.525802BR5907TIM S A6009SAO PAULO62290525R36000054761603190316174663048818</t>
  </si>
  <si>
    <t>387.750.775-15</t>
  </si>
  <si>
    <t>1.351307582</t>
  </si>
  <si>
    <t>00020126740014br.gov.bcb.pix013686b26441-94eb-4523-9e8a-79120d007b940212000057682954520400005303986540519.725802BR5907TIM S A6009SAO PAULO62290525R05000057682954200309283263048C3D</t>
  </si>
  <si>
    <t>505.439.465-68</t>
  </si>
  <si>
    <t>1.351838818</t>
  </si>
  <si>
    <t>00020126740014br.gov.bcb.pix013686b26441-94eb-4523-9e8a-79120d007b940212000057686725520400005303986540517.645802BR5907TIM S A6009SAO PAULO62290525R0500005768672520031130346304F909</t>
  </si>
  <si>
    <t>000.860.036-82</t>
  </si>
  <si>
    <t>1.351811921</t>
  </si>
  <si>
    <t>001.983.476-42</t>
  </si>
  <si>
    <t>1.348691316</t>
  </si>
  <si>
    <t>00020126740014br.gov.bcb.pix013686b26441-94eb-4523-9e8a-79120d007b940212000057752452520400005303986540531.815802BR5907TIM S A6009SAO PAULO62290525R05000057752452240313555063042C21</t>
  </si>
  <si>
    <t>004.486.296-23</t>
  </si>
  <si>
    <t>1.350056233</t>
  </si>
  <si>
    <t>00020126740014br.gov.bcb.pix013686b26441-94eb-4523-9e8a-79120d007b940212000057752463520400005303986540520.405802BR5907TIM S A6009SAO PAULO62290525R05000057752463240313561663041322</t>
  </si>
  <si>
    <t>006.549.686-83</t>
  </si>
  <si>
    <t>1.349580766</t>
  </si>
  <si>
    <t>00020126740014br.gov.bcb.pix013686b26441-94eb-4523-9e8a-79120d007b940212000057752591520400005303986540556.155802BR5907TIM S A6009SAO PAULO62290525R0500005775259124031403336304B932</t>
  </si>
  <si>
    <t>007.082.815-67</t>
  </si>
  <si>
    <t>1.349382118</t>
  </si>
  <si>
    <t>00020126740014br.gov.bcb.pix013686b26441-94eb-4523-9e8a-79120d007b940212000054762074520400005303986540536.875802BR5907TIM S A6009SAO PAULO62290525R3600005476207420031408006304EFBB</t>
  </si>
  <si>
    <t>010.323.005-07</t>
  </si>
  <si>
    <t>1.348467649</t>
  </si>
  <si>
    <t>00020126740014br.gov.bcb.pix013686b26441-94eb-4523-9e8a-79120d007b940212000054762075520400005303986540523.765802BR5907TIM S A6009SAO PAULO62290525R3600005476207520031404006304AC2F</t>
  </si>
  <si>
    <t>013.904.196-65</t>
  </si>
  <si>
    <t>1.351535854</t>
  </si>
  <si>
    <t>014.400.586-79</t>
  </si>
  <si>
    <t>1.350096516</t>
  </si>
  <si>
    <t>00020126740014br.gov.bcb.pix013686b26441-94eb-4523-9e8a-79120d007b940212000057722801520400005303986540520.645802BR5907TIM S A6009SAO PAULO62290525R05000057722801230310520363049D16</t>
  </si>
  <si>
    <t>018.049.176-80</t>
  </si>
  <si>
    <t>1.350164513</t>
  </si>
  <si>
    <t>JULIA KAREN</t>
  </si>
  <si>
    <t>00020126740014br.gov.bcb.pix013686b26441-94eb-4523-9e8a-79120d007b940212000057756698520400005303986540535.085802BR5907TIM S A6009SAO PAULO62290525R050000577566982403160240630406AD</t>
  </si>
  <si>
    <t>018.362.846-24</t>
  </si>
  <si>
    <t>1.351838012</t>
  </si>
  <si>
    <t>00020126740014br.gov.bcb.pix013686b26441-94eb-4523-9e8a-79120d007b940212000057755810520400005303986540515.575802BR5907TIM S A6009SAO PAULO62290525R05000057755810240315390763044F17</t>
  </si>
  <si>
    <t>021.622.006-86</t>
  </si>
  <si>
    <t>1.348922555</t>
  </si>
  <si>
    <t>00020126740014br.gov.bcb.pix013686b26441-94eb-4523-9e8a-79120d007b940212000057749139520400005303986540517.555802BR5907TIM S A6009SAO PAULO62290525R0500005774913924031134546304C92C</t>
  </si>
  <si>
    <t>023.022.276-54</t>
  </si>
  <si>
    <t>1.348059106</t>
  </si>
  <si>
    <t>00020126740014br.gov.bcb.pix013686b26441-94eb-4523-9e8a-79120d007b940212000054763867520400005303986540520.215802BR5907TIM S A6009SAO PAULO62290525R36000054763867240314522363048645</t>
  </si>
  <si>
    <t>023.615.852-00</t>
  </si>
  <si>
    <t>1.349625365</t>
  </si>
  <si>
    <t>00020126740014br.gov.bcb.pix013686b26441-94eb-4523-9e8a-79120d007b940212000057805885520400005303986540522.725802BR5907TIM S A6009SAO PAULO62290525R0500005780588526031405366304083D</t>
  </si>
  <si>
    <t>025.283.686-31</t>
  </si>
  <si>
    <t>1.351817273</t>
  </si>
  <si>
    <t>026.009.554-02</t>
  </si>
  <si>
    <t>1.350184359</t>
  </si>
  <si>
    <t>00020126740014br.gov.bcb.pix013686b26441-94eb-4523-9e8a-79120d007b940212000058045558520400005303986540526.455802BR5907TIM S A6009SAO PAULO62290525R050000580455580904100351630400BD</t>
  </si>
  <si>
    <t>028.951.506-80</t>
  </si>
  <si>
    <t>1.350748915</t>
  </si>
  <si>
    <t>00020126740014br.gov.bcb.pix013686b26441-94eb-4523-9e8a-79120d007b940212000057690707520400005303986540517.975802BR5907TIM S A6009SAO PAULO62290525R0500005769070720031344386304C576</t>
  </si>
  <si>
    <t>029.608.664-95</t>
  </si>
  <si>
    <t>1.348696605</t>
  </si>
  <si>
    <t>00020126740014br.gov.bcb.pix013686b26441-94eb-4523-9e8a-79120d007b940212000057756837520400005303986540517.555802BR5907TIM S A6009SAO PAULO62290525R0500005775683724031608146304A0A7</t>
  </si>
  <si>
    <t>037.548.416-70</t>
  </si>
  <si>
    <t>1.349262270</t>
  </si>
  <si>
    <t>00020126740014br.gov.bcb.pix013686b26441-94eb-4523-9e8a-79120d007b940212000057752594520400005303986540537.915802BR5907TIM S A6009SAO PAULO62290525R05000057752594240314004263043986</t>
  </si>
  <si>
    <t>039.307.024-79</t>
  </si>
  <si>
    <t>1.348822302</t>
  </si>
  <si>
    <t>00020126740014br.gov.bcb.pix013686b26441-94eb-4523-9e8a-79120d007b940212000058099256520400005303986540548.715802BR5907TIM S A6009SAO PAULO62290525R050000580992561304114609630488CF</t>
  </si>
  <si>
    <t>040.819.936-96</t>
  </si>
  <si>
    <t>1.349462768</t>
  </si>
  <si>
    <t>00020126740014br.gov.bcb.pix013686b26441-94eb-4523-9e8a-79120d007b940212000054763770520400005303986540533.645802BR5907TIM S A6009SAO PAULO62290525R3600005476377024031223296304E284</t>
  </si>
  <si>
    <t>044.795.495-44</t>
  </si>
  <si>
    <t>1.349657705</t>
  </si>
  <si>
    <t>00020126740014br.gov.bcb.pix013686b26441-94eb-4523-9e8a-79120d007b940212000057683990520400005303986540522.685802BR5907TIM S A6009SAO PAULO62290525R0500005768399020031002416304D734</t>
  </si>
  <si>
    <t>1.351783196</t>
  </si>
  <si>
    <t>045.380.086-64</t>
  </si>
  <si>
    <t>1.348678078</t>
  </si>
  <si>
    <t>00020126740014br.gov.bcb.pix013686b26441-94eb-4523-9e8a-79120d007b940212000054764516520400005303986540526.765802BR5907TIM S A6009SAO PAULO62290525R36000054764516250316263963041895</t>
  </si>
  <si>
    <t>050.093.416-97</t>
  </si>
  <si>
    <t>1.349065214</t>
  </si>
  <si>
    <t>00020126740014br.gov.bcb.pix013686b26441-94eb-4523-9e8a-79120d007b940212000054763839520400005303986540535.755802BR5907TIM S A6009SAO PAULO62290525R360000547638392403142709630489F1</t>
  </si>
  <si>
    <t>051.673.908-50</t>
  </si>
  <si>
    <t>1.348697207</t>
  </si>
  <si>
    <t>00020126740014br.gov.bcb.pix013686b26441-94eb-4523-9e8a-79120d007b940212000057799708520400005303986540528.575802BR5907TIM S A6009SAO PAULO62290525R05000057799708260309402163046B19</t>
  </si>
  <si>
    <t>052.893.076-13</t>
  </si>
  <si>
    <t>1.348501153</t>
  </si>
  <si>
    <t>00020126740014br.gov.bcb.pix013686b26441-94eb-4523-9e8a-79120d007b940212000054763736520400005303986540535.725802BR5907TIM S A6009SAO PAULO62290525R36000054763736240311445563041D19</t>
  </si>
  <si>
    <t>054.098.073-08</t>
  </si>
  <si>
    <t>1.349519451</t>
  </si>
  <si>
    <t>00020126740014br.gov.bcb.pix013686b26441-94eb-4523-9e8a-79120d007b940212000054763851520400005303986540528.665802BR5907TIM S A6009SAO PAULO62290525R36000054763851240314361763041C9C</t>
  </si>
  <si>
    <t>054.286.896-25</t>
  </si>
  <si>
    <t>1.347918588</t>
  </si>
  <si>
    <t>058.630.006-60</t>
  </si>
  <si>
    <t>1.349298108</t>
  </si>
  <si>
    <t>00020126740014br.gov.bcb.pix013686b26441-94eb-4523-9e8a-79120d007b940212000054763833520400005303986540528.775802BR5907TIM S A6009SAO PAULO62290525R3600005476383324031406336304B45D</t>
  </si>
  <si>
    <t>059.877.864-01</t>
  </si>
  <si>
    <t>1.348374426</t>
  </si>
  <si>
    <t>00020126740014br.gov.bcb.pix013686b26441-94eb-4523-9e8a-79120d007b940212000054763293520400005303986540536.315802BR5907TIM S A6009SAO PAULO62290525R360000547632932303152129630497D4</t>
  </si>
  <si>
    <t>060.277.084-09</t>
  </si>
  <si>
    <t>1.351221538</t>
  </si>
  <si>
    <t>060.491.034-70</t>
  </si>
  <si>
    <t>1.349841466</t>
  </si>
  <si>
    <t>00020126740014br.gov.bcb.pix013686b26441-94eb-4523-9e8a-79120d007b940212000057730516520400005303986540522.975802BR5907TIM S A6009SAO PAULO62290525R05000057730516230314504463</t>
  </si>
  <si>
    <t>067.714.094-06</t>
  </si>
  <si>
    <t>1.348558698</t>
  </si>
  <si>
    <t>00020126740014br.gov.bcb.pix013686b26441-94eb-4523-9e8a-79120d007b940212000057733965520400005303986540513.355802BR5907TIM S A6009SAO PAULO62290525R050000577339652303164007630494D6</t>
  </si>
  <si>
    <t>072.653.604-00</t>
  </si>
  <si>
    <t>1.347758390</t>
  </si>
  <si>
    <t>00020126740014br.gov.bcb.pix013686b26441-94eb-4523-9e8a-79120d007b940212000054763347520400005303986540511.835802BR5907TIM S A6009SAO PAULO62290525R36000054763347230316114963044415</t>
  </si>
  <si>
    <t>073.945.966-05</t>
  </si>
  <si>
    <t>1.349797422</t>
  </si>
  <si>
    <t>00020126740014br.gov.bcb.pix013686b26441-94eb-4523-9e8a-79120d007b940212000057732290520400005303986540519.295802BR5907TIM S A6009SAO PAULO62290525R05000057732290230315430863049484</t>
  </si>
  <si>
    <t>076.042.836-08</t>
  </si>
  <si>
    <t>1.347871929</t>
  </si>
  <si>
    <t>00020126740014br.gov.bcb.pix013686b26441-94eb-4523-9e8a-79120d007b940212000054763421520400005303986540543.935802BR5907TIM S A6009SAO PAULO62290525R3600005476342123031749576304FC61</t>
  </si>
  <si>
    <t>077.116.826-89</t>
  </si>
  <si>
    <t>1.349016549</t>
  </si>
  <si>
    <t>00020126740014br.gov.bcb.pix013686b26441-94eb-4523-9e8a-79120d007b940212000054763646520400005303986540518.515802BR5907TIM S A6009SAO PAULO62290525R36000054763646240310110863042EB2</t>
  </si>
  <si>
    <t>077.989.886-96</t>
  </si>
  <si>
    <t>1.350417943</t>
  </si>
  <si>
    <t>00020126740014br.gov.bcb.pix013686b26441-94eb-4523-9e8a-79120d007b940212000057746575520400005303986540522.815802BR5907TIM S A6009SAO PAULO62290525R0500005774657524031029336304840E</t>
  </si>
  <si>
    <t>078.854.498-58</t>
  </si>
  <si>
    <t>1.348500191</t>
  </si>
  <si>
    <t>00020126740014br.gov.bcb.pix013686b26441-94eb-4523-9e8a-79120d007b940212000057694022520400005303986540533.035802BR5907TIM S A6009SAO PAULO62290525R050000576940222003154400630486E7</t>
  </si>
  <si>
    <t>085.259.056-31</t>
  </si>
  <si>
    <t>1.348317626</t>
  </si>
  <si>
    <t>00020126740014br.gov.bcb.pix013686b26441-94eb-4523-9e8a-79120d007b940212000054764502520400005303986540541.355802BR5907TIM S A6009SAO PAULO62290525R3600005476450225031605346304A555</t>
  </si>
  <si>
    <t>085.664.314-99</t>
  </si>
  <si>
    <t>1.351807798</t>
  </si>
  <si>
    <t>095.825.296-36</t>
  </si>
  <si>
    <t>1.348248323</t>
  </si>
  <si>
    <t>00020126740014br.gov.bcb.pix013686b26441-94eb-4523-9e8a-79120d007b940212000054763870520400005303986540548.835802BR5907TIM S A6009SAO PAULO62290525R3600005476387024031454456304ED66</t>
  </si>
  <si>
    <t>096.414.716-51</t>
  </si>
  <si>
    <t>1.348304583</t>
  </si>
  <si>
    <t>00020126740014br.gov.bcb.pix013686b26441-94eb-4523-9e8a-79120d007b940212000054763354520400005303986540572.595802BR5907TIM S A6009SAO PAULO62290525R3600005476335423031622536304848C</t>
  </si>
  <si>
    <t>097.862.644-36</t>
  </si>
  <si>
    <t>1.347673117</t>
  </si>
  <si>
    <t>00020126740014br.gov.bcb.pix013686b26441-94eb-4523-9e8a-79120d007b940212000054763373520400005303986540538.655802BR5907TIM S A6009SAO PAULO62290525R36000054763373230316421163041DA0</t>
  </si>
  <si>
    <t>100.865.586-41</t>
  </si>
  <si>
    <t>1.349609844</t>
  </si>
  <si>
    <t>00020126740014br.gov.bcb.pix013686b26441-94eb-4523-9e8a-79120d007b940212000054763754520400005303986540529.035802BR5907TIM S A6009SAO PAULO62290525R3600005476375424031209426304E6D5</t>
  </si>
  <si>
    <t>101.625.046-08</t>
  </si>
  <si>
    <t>1.348042224</t>
  </si>
  <si>
    <t>00020126740014br.gov.bcb.pix013686b26441-94eb-4523-9e8a-79120d007b940212000054763862520400005303986540537.835802BR5907TIM S A6009SAO PAULO62290525R3600005476386224031445226304FBEA</t>
  </si>
  <si>
    <t>103.644.227-69</t>
  </si>
  <si>
    <t>1.347929290</t>
  </si>
  <si>
    <t>00020126740014br.gov.bcb.pix013686b26441-94eb-4523-9e8a-79120d007b940212000054763094520400005303986540527.465802BR5907TIM S A6009SAO PAULO62290525R36000054763094230312104963046E3C</t>
  </si>
  <si>
    <t>103.919.816-33</t>
  </si>
  <si>
    <t>1.349463220</t>
  </si>
  <si>
    <t>00020126740014br.gov.bcb.pix013686b26441-94eb-4523-9e8a-79120d007b940212000054763184520400005303986540544.115802BR5907TIM S A6009SAO PAULO62290525R3600005476318423031337096304E508</t>
  </si>
  <si>
    <t>110.844.186-65</t>
  </si>
  <si>
    <t>1.347876722</t>
  </si>
  <si>
    <t>00020126740014br.gov.bcb.pix013686b26441-94eb-4523-9e8a-79120d007b940212000054763199520400005303986540557.675802BR5907TIM S A6009SAO PAULO62290525R36000054763199230313502363042824</t>
  </si>
  <si>
    <t>113.194.346-57</t>
  </si>
  <si>
    <t>1.350539470</t>
  </si>
  <si>
    <t>00020126740014br.gov.bcb.pix013686b26441-94eb-4523-9e8a-79120d007b940212000057960947520400005303986540522.745802BR5907TIM S A6009SAO PAULO62290525R0500005796094702041534376304AE86</t>
  </si>
  <si>
    <t>114.182.846-45</t>
  </si>
  <si>
    <t>1.348239346</t>
  </si>
  <si>
    <t>00020126740014br.gov.bcb.pix013686b26441-94eb-4523-9e8a-79120d007b940212000054763668520400005303986540530.145802BR5907TIM S A6009SAO PAULO62290525R36000054763668240310314163049890</t>
  </si>
  <si>
    <t>116.582.786-74</t>
  </si>
  <si>
    <t>1.350312192</t>
  </si>
  <si>
    <t>00020126740014br.gov.bcb.pix013686b26441-94eb-4523-9e8a-79120d007b940212000057932589520400005303986540530.005802BR5907TIM S A6009SAO PAULO62290525R0500005793258901040957576304E02D</t>
  </si>
  <si>
    <t>116.845.624-06</t>
  </si>
  <si>
    <t>1.348733813</t>
  </si>
  <si>
    <t>00020126740014br.gov.bcb.pix013686b26441-94eb-4523-9e8a-79120d007b940212000054763183520400005303986540525.925802BR5907TIM S A6009SAO PAULO62290525R36000054763183230313504563047C25</t>
  </si>
  <si>
    <t>1.348644700</t>
  </si>
  <si>
    <t>00020126740014br.gov.bcb.pix013686b26441-94eb-4523-9e8a-79120d007b940212000054763207520400005303986540539.525802BR5907TIM S A6009SAO PAULO62290525R360000547632072303135746630413EA</t>
  </si>
  <si>
    <t>12.783.465/0001-45</t>
  </si>
  <si>
    <t>1.348131065</t>
  </si>
  <si>
    <t>00020126740014br.gov.bcb.pix013686b26441-94eb-4523-9e8a-79120d007b940212000057778751520400005303986540541.945802BR5907TIM S A6009SAO PAULO62290525R05000057778751250314552663044E42</t>
  </si>
  <si>
    <t>120.132.036-40</t>
  </si>
  <si>
    <t>1.349754797</t>
  </si>
  <si>
    <t>00020126740014br.gov.bcb.pix013686b26441-94eb-4523-9e8a-79120d007b940212000057730700520400005303986540527.105802BR5907TIM S A6009SAO PAULO62290525R050000577307002303145742630458A1</t>
  </si>
  <si>
    <t>120.924.316-41</t>
  </si>
  <si>
    <t>1.349181443</t>
  </si>
  <si>
    <t xml:space="preserve">MARCELA </t>
  </si>
  <si>
    <t>00020126740014br.gov.bcb.pix013686b26441-94eb-4523-9e8a-79120d007b940212000054763198520400005303986540532.685802BR5907TIM S A6009SAO PAULO62290525R3600005476319823031349586304C594</t>
  </si>
  <si>
    <t>123.985.416-14</t>
  </si>
  <si>
    <t>1.349249590</t>
  </si>
  <si>
    <t>00020126740014br.gov.bcb.pix013686b26441-94eb-4523-9e8a-79120d007b940212000054763217520400005303986540524.535802BR5907TIM S A6009SAO PAULO62290525R36000054763217230314071863048324</t>
  </si>
  <si>
    <t>124.938.204-10</t>
  </si>
  <si>
    <t>1.348144341</t>
  </si>
  <si>
    <t>00020126740014br.gov.bcb.pix013686b26441-94eb-4523-9e8a-79120d007b940212000054763126520400005303986540563.475802BR5907TIM S A6009SAO PAULO62290525R3600005476312623031246226304DACC</t>
  </si>
  <si>
    <t>125.971.486-10</t>
  </si>
  <si>
    <t>1.349514200</t>
  </si>
  <si>
    <t>00020126740014br.gov.bcb.pix013686b26441-94eb-4523-9e8a-79120d007b940212000057730516520400005303986540522.975802BR5907TIM S A6009SAO PAULO62290525R0500005773051623031450446304EE45</t>
  </si>
  <si>
    <t>130.827.216-21</t>
  </si>
  <si>
    <t>1.349256047</t>
  </si>
  <si>
    <t>00020126740014br.gov.bcb.pix013686b26441-94eb-4523-9e8a-79120d007b940212000054763165520400005303986540524.255802BR5907TIM S A6009SAO PAULO62290525R360000547631652303132801630491E1</t>
  </si>
  <si>
    <t>130.931.756-90</t>
  </si>
  <si>
    <t>1.348484983</t>
  </si>
  <si>
    <t>00020126740014br.gov.bcb.pix013686b26441-94eb-4523-9e8a-79120d007b940212020021263249520400005303986540535.425802BR5907TIM S A6009SAO PAULO62290525R05020021263249230315395963044905</t>
  </si>
  <si>
    <t>133.730.656-82</t>
  </si>
  <si>
    <t>1.348238594</t>
  </si>
  <si>
    <t>00020126740014br.gov.bcb.pix013686b26441-94eb-4523-9e8a-79120d007b940212000054763221520400005303986540530.145802BR5907TIM S A6009SAO PAULO62290525R36000054763221230314093663044A68</t>
  </si>
  <si>
    <t>133.839.627-76</t>
  </si>
  <si>
    <t>1.348561064</t>
  </si>
  <si>
    <t>00020126740014br.gov.bcb.pix013686b26441-94eb-4523-9e8a-79120d007b940212000054762160520400005303986540534.815802BR5907TIM S A6009SAO PAULO62290525R3600005476216020031558426304545F</t>
  </si>
  <si>
    <t>135.642.014-16</t>
  </si>
  <si>
    <t>1.348171443</t>
  </si>
  <si>
    <t>00020126740014br.gov.bcb.pix013686b26441-94eb-4523-9e8a-79120d007b940212000054762125520400005303986540598.495802BR5907TIM S A6009SAO PAULO62290525R36000054762125200315104163046563</t>
  </si>
  <si>
    <t>142.390.026-05</t>
  </si>
  <si>
    <t>1.348489281</t>
  </si>
  <si>
    <t>00020126740014br.gov.bcb.pix013686b26441-94eb-4523-9e8a-79120d007b940212000054762122520400005303986540529.365802BR5907TIM S A6009SAO PAULO62290525R3600005476212220031507076304FDD9</t>
  </si>
  <si>
    <t>146.998.316-80</t>
  </si>
  <si>
    <t>1.349623687</t>
  </si>
  <si>
    <t>00020126740014br.gov.bcb.pix013686b26441-94eb-4523-9e8a-79120d007b940212000054762131520400005303986540530.385802BR5907TIM S A6009SAO PAULO62290525R36000054762131200315313163048376</t>
  </si>
  <si>
    <t>158.506.157-33</t>
  </si>
  <si>
    <t>1.348097629</t>
  </si>
  <si>
    <t>00020126740014br.gov.bcb.pix013686b26441-94eb-4523-9e8a-79120d007b940212000054762966520400005303986540554.205802BR5907TIM S A6009SAO PAULO62290525R3600005476296623031016226304951D</t>
  </si>
  <si>
    <t>160.395.366-32</t>
  </si>
  <si>
    <t>1.349646502</t>
  </si>
  <si>
    <t>00020126740014br.gov.bcb.pix013686b26441-94eb-4523-9e8a-79120d007b940212000054762975520400005303986540528.205802BR5907TIM S A6009SAO PAULO62290525R36000054762975230310081363048E7E</t>
  </si>
  <si>
    <t>21.904.977/0001-03</t>
  </si>
  <si>
    <t>1.348562637</t>
  </si>
  <si>
    <t>00020126740014br.gov.bcb.pix013686b26441-94eb-4523-9e8a-79120d007b940212000054763958520400005303986540532.795802BR5907TIM S A6009SAO PAULO62290525R36000054763958240317072663045C23</t>
  </si>
  <si>
    <t>229.570.145-72</t>
  </si>
  <si>
    <t>1.349954196</t>
  </si>
  <si>
    <t>00020126740014br.gov.bcb.pix013686b26441-94eb-4523-9e8a-79120d007b940212000057684958520400005303986540517.525802BR5907TIM S A6009SAO PAULO62290525R05000057684958200310334763040E9B</t>
  </si>
  <si>
    <t>239.056.033-49</t>
  </si>
  <si>
    <t>1.351784685</t>
  </si>
  <si>
    <t>241.898.205-04</t>
  </si>
  <si>
    <t>1.347940764</t>
  </si>
  <si>
    <t>00020126740014br.gov.bcb.pix013686b26441-94eb-4523-9e8a-79120d007b940212000054762039520400005303986540535.005802BR5907TIM S A6009SAO PAULO62290525R3600005476203920031317266304E23C</t>
  </si>
  <si>
    <t>27.009.368/0001-77</t>
  </si>
  <si>
    <t>1.348739721</t>
  </si>
  <si>
    <t>00020126740014br.gov.bcb.pix013686b26441-94eb-4523-9e8a-79120d007b940212000054764355520400005303986540531.585802BR5907TIM S A6009SAO PAULO62290525R3600005476435525031307116304F0A5</t>
  </si>
  <si>
    <t>276.254.434-34</t>
  </si>
  <si>
    <t>1.347875548</t>
  </si>
  <si>
    <t>00020126740014br.gov.bcb.pix013686b26441-94eb-4523-9e8a-79120d007b940212000054762128520400005303986540518.475802BR5907TIM S A6009SAO PAULO62290525R3600005476212820031517566304EA96</t>
  </si>
  <si>
    <t>347.259.893-04</t>
  </si>
  <si>
    <t>1.349031345</t>
  </si>
  <si>
    <t>397.382.993-49</t>
  </si>
  <si>
    <t>1.349578307</t>
  </si>
  <si>
    <t>00020126740014br.gov.bcb.pix013686b26441-94eb-4523-9e8a-79120d007b940212000057803531520400005303986540535.435802BR5907TIM S A6009SAO PAULO62290525R0500005780353126031108366304F89B</t>
  </si>
  <si>
    <t>1.350030966</t>
  </si>
  <si>
    <t>00020126740014br.gov.bcb.pix013686b26441-94eb-4523-9e8a-79120d007b940212000057755037520400005303986540510.325802BR5907TIM S A6009SAO PAULO62290525R050000577550372403151701630492BE</t>
  </si>
  <si>
    <t>508.586.535-91</t>
  </si>
  <si>
    <t>1.349217440</t>
  </si>
  <si>
    <t>00020126740014br.gov.bcb.pix013686b26441-94eb-4523-9e8a-79120d007b940212020021263641520400005303986540519.475802BR5907TIM S A6009SAO PAULO62290525R0502002126364124030954166304F656</t>
  </si>
  <si>
    <t>54.863.917/0001-49</t>
  </si>
  <si>
    <t>1.349832349</t>
  </si>
  <si>
    <t>567.736.684-68</t>
  </si>
  <si>
    <t>1.348970596</t>
  </si>
  <si>
    <t>00020126740014br.gov.bcb.pix013686b26441-94eb-4523-9e8a-79120d007b940212000057724384520400005303986540540.385802BR5907TIM S A6009SAO PAULO62290525R05000057724384230311333263043AF1</t>
  </si>
  <si>
    <t>57.485.854/0001-22</t>
  </si>
  <si>
    <t>1.348041877</t>
  </si>
  <si>
    <t>00020126740014br.gov.bcb.pix013686b26441-94eb-4523-9e8a-79120d007b940212000054763971520400005303986540542.285802BR5907TIM S A6009SAO PAULO62290525R360000547639712403173635630487E5</t>
  </si>
  <si>
    <t>601.241.863-94</t>
  </si>
  <si>
    <t>1.347869901</t>
  </si>
  <si>
    <t>00020126740014br.gov.bcb.pix013686b26441-94eb-4523-9e8a-79120d007b940212000054762066520400005303986540547.275802BR5907TIM S A6009SAO PAULO62290525R360000547620662003135119630422F7</t>
  </si>
  <si>
    <t>450.896.473-72</t>
  </si>
  <si>
    <t>1.347940234</t>
  </si>
  <si>
    <t>00020126740014br.gov.bcb.pix013686b26441-94eb-4523-9e8a-79120d007b940212000054764824520400005303986540537.505802BR5907TIM S A6009SAO PAULO62290525R36000054764824260310420463044AAC</t>
  </si>
  <si>
    <t>604.753.943-21</t>
  </si>
  <si>
    <t>1.349889509</t>
  </si>
  <si>
    <t>00020126740014br.gov.bcb.pix013686b26441-94eb-4523-9e8a-79120d007b940212200017961520520400005303986540510.315802BR5907TIM S A6009SAO PAULO62290525R05200017961520200314483263040E3A</t>
  </si>
  <si>
    <t>61.805.837/0001-00</t>
  </si>
  <si>
    <t>1.349393659</t>
  </si>
  <si>
    <t>00020126740014br.gov.bcb.pix013686b26441-94eb-4523-9e8a-79120d007b940212000057771209520400005303986540542.425802BR5907TIM S A6009SAO PAULO62290525R050000577712092503105451630493BF</t>
  </si>
  <si>
    <t>619.258.456-72</t>
  </si>
  <si>
    <t>1.349167266</t>
  </si>
  <si>
    <t>00020126740014br.gov.bcb.pix013686b26441-94eb-4523-9e8a-79120d007b940212000054762083520400005303986540514.305802BR5907TIM S A6009SAO PAULO62290525R3600005476208320031412196304B807</t>
  </si>
  <si>
    <t>633.579.686-49</t>
  </si>
  <si>
    <t>1.347885839</t>
  </si>
  <si>
    <t>00020126740014br.gov.bcb.pix013686b26441-94eb-4523-9e8a-79120d007b940212000054762967520400005303986540530.475802BR5907TIM S A6009SAO PAULO62290525R36000054762967230309581563041698</t>
  </si>
  <si>
    <t>702.135.756-71</t>
  </si>
  <si>
    <t>1.348374434</t>
  </si>
  <si>
    <t>00020126740014br.gov.bcb.pix013686b26441-94eb-4523-9e8a-79120d007b940212000054762220520400005303986540532.855802BR5907TIM S A6009SAO PAULO62290525R360000547622202003171312630415F9</t>
  </si>
  <si>
    <t>707.245.444-61</t>
  </si>
  <si>
    <t>1.349055953</t>
  </si>
  <si>
    <t>00020126740014br.gov.bcb.pix013686b26441-94eb-4523-9e8a-79120d007b940212000057756692520400005303986540513.605802BR5907TIM S A6009SAO PAULO62290525R05000057756692240316022263044109</t>
  </si>
  <si>
    <t>709.138.896-87</t>
  </si>
  <si>
    <t>1.348229823</t>
  </si>
  <si>
    <t>00020126740014br.gov.bcb.pix013686b26441-94eb-4523-9e8a-79120d007b940212000054762214520400005303986540512.805802BR5907TIM S A6009SAO PAULO62290525R36000054762214200317083363041652</t>
  </si>
  <si>
    <t>715.488.236-00</t>
  </si>
  <si>
    <t>1.351755307</t>
  </si>
  <si>
    <t>716.883.406-10</t>
  </si>
  <si>
    <t>1.347880472</t>
  </si>
  <si>
    <t>00020126740014br.gov.bcb.pix013686b26441-94eb-4523-9e8a-79120d007b940212000054762213520400005303986540536.275802BR5907TIM S A6009SAO PAULO62290525R3600005476221320031705416304D4E4</t>
  </si>
  <si>
    <t>737.116.166-15</t>
  </si>
  <si>
    <t>1.349260806</t>
  </si>
  <si>
    <t>00020126740014br.gov.bcb.pix013686b26441-94eb-4523-9e8a-79120d007b940212000054762219520400005303986540536.605802BR5907TIM S A6009SAO PAULO62290525R3600005476221920031711426304D444</t>
  </si>
  <si>
    <t>786.888.416-91</t>
  </si>
  <si>
    <t>1.348417988</t>
  </si>
  <si>
    <t>00020126740014br.gov.bcb.pix013686b26441-94eb-4523-9e8a-79120d007b940212000058052290520400005303986540586.445802BR5907TIM S A6009SAO PAULO62290525R05000058052290090415112663046B6C00020126740014br</t>
  </si>
  <si>
    <t>790.361.393-68</t>
  </si>
  <si>
    <t>1.351775766</t>
  </si>
  <si>
    <t>839.492.086-15</t>
  </si>
  <si>
    <t>1.347791661</t>
  </si>
  <si>
    <t>00020126740014br.gov.bcb.pix013686b26441-94eb-4523-9e8a-79120d007b940212000054762239520400005303986540539.935802BR5907TIM S A6009SAO PAULO62290525R3600005476223920031741106304B41F</t>
  </si>
  <si>
    <t>908.216.456-68</t>
  </si>
  <si>
    <t>1.347940815</t>
  </si>
  <si>
    <t>00020126740014br.gov.bcb.pix013686b26441-94eb-4523-9e8a-79120d007b940212000054763016520400005303986540555.175802BR5907TIM S A6009SAO PAULO62290525R36000054763016230310503263042206</t>
  </si>
  <si>
    <t>250.403.834-87</t>
  </si>
  <si>
    <t>1.348163565</t>
  </si>
  <si>
    <t>00020126740014br.gov.bcb.pix013686b26441-94eb-4523-9e8a-79120d007b940212000054764796520400005303986540532.395802BR5907TIM S A6009SAO PAULO62290525R36000054764796260310172063046A4F</t>
  </si>
  <si>
    <t>922.901.324-20</t>
  </si>
  <si>
    <t>1.348421552</t>
  </si>
  <si>
    <t>00020126740014br.gov.bcb.pix013686b26441-94eb-4523-9e8a-79120d007b940212000054762212520400005303986540548.805802BR5907TIM S A6009SAO PAULO62290525R3600005476221220031704336304D9B5</t>
  </si>
  <si>
    <t>953.114.836-87</t>
  </si>
  <si>
    <t>1.350073262</t>
  </si>
  <si>
    <t>00020126740014br.gov.bcb.pix013686b26441-94eb-4523-9e8a-79120d007b940212000057815842520400005303986540538.455802BR5907TIM S A6009SAO PAULO62290525R0500005781584226031626206304774C</t>
  </si>
  <si>
    <t>54311523000188</t>
  </si>
  <si>
    <t>7.2129948</t>
  </si>
  <si>
    <t>00020126740014br.gov.bcb.pix013686b26441-94eb-4523-9e8a-79120d007b940212000057667941520400005303986540534.135802BR5907TIM S A6009SAO PAULO62290525R0500005766794119031213126304BAB2</t>
  </si>
  <si>
    <t>35671511000110</t>
  </si>
  <si>
    <t>7.2159909.10</t>
  </si>
  <si>
    <t>00020126740014br.gov.bcb.pix013686b26441-94eb-4523-9e8a-79120d007b940212000054761835520400005303986540579.545802BR5907TIM S A6009SAO PAULO62290525R36000054761835200309512163049B06</t>
  </si>
  <si>
    <t>43422163000175</t>
  </si>
  <si>
    <t>7.2170659.10</t>
  </si>
  <si>
    <t>55225092000108</t>
  </si>
  <si>
    <t>7.2160606</t>
  </si>
  <si>
    <t>00020126740014br.gov.bcb.pix013686b26441-94eb-4523-9e8a-79120d007b940212000057666916520400005303986540519.145802BR5907TIM S A6009SAO PAULO62290525R05000057666916190311412563049D2C</t>
  </si>
  <si>
    <t>39749658000136</t>
  </si>
  <si>
    <t>7.2156152</t>
  </si>
  <si>
    <t>00020126740014br.gov.bcb.pix013686b26441-94eb-4523-9e8a-79120d007b940212000054761071520400005303986540594.005802BR5907TIM S A6009SAO PAULO62290525R3600005476107118031734586304DC9E</t>
  </si>
  <si>
    <t>24217724000150</t>
  </si>
  <si>
    <t>7.2175703.10</t>
  </si>
  <si>
    <t>01/01 e 25/02</t>
  </si>
  <si>
    <t>00020126740014br.gov.bcb.pix013686b26441-94eb-4523-9e8a-79120d007b940212000054765733520400005303986540543.925802BR5907TIM S A6009SAO PAULO62290525R36000054765733270317471163049567</t>
  </si>
  <si>
    <t>077.680.792-72</t>
  </si>
  <si>
    <t>1.352493333</t>
  </si>
  <si>
    <t>713.044.412-61</t>
  </si>
  <si>
    <t>1.349515741</t>
  </si>
  <si>
    <t>00020126740014br.gov.bcb.pix013686b26441-94eb-4523-9e8a-79120d007b940212000057841227520400005303986540554.695802BR5907TIM S A6009SAO PAULO62290525R0500005784122727031447316304F49A</t>
  </si>
  <si>
    <t>463.951.722-04</t>
  </si>
  <si>
    <t>1.350264740</t>
  </si>
  <si>
    <t>00020126740014br.gov.bcb.pix013686b26441-94eb-4523-9e8a-79120d007b940212000057896464520400005303986540520.595802BR5907TIM S A6009SAO PAULO62290525R05000057896464300312202663043CCA</t>
  </si>
  <si>
    <t>436.753.952-00</t>
  </si>
  <si>
    <t>1.352531674</t>
  </si>
  <si>
    <t>628.017.402-68</t>
  </si>
  <si>
    <t>1.352474152</t>
  </si>
  <si>
    <t>524.587.502-06</t>
  </si>
  <si>
    <t>1.349378974</t>
  </si>
  <si>
    <t>00020126740014br.gov.bcb.pix013686b26441-94eb-4523-9e8a-79120d007b940212000057840369520400005303986540545.465802BR5907TIM S A6009SAO PAULO62290525R0500005784036927031423596304FD3E</t>
  </si>
  <si>
    <t>602.597.012-20</t>
  </si>
  <si>
    <t>1.348928842</t>
  </si>
  <si>
    <t>00020126740014br.gov.bcb.pix013686b26441-94eb-4523-9e8a-79120d007b940212000057937910520400005303986540538.955802BR5907TIM S A6009SAO PAULO62290525R050000579379100104161558630467CA</t>
  </si>
  <si>
    <t>754.172.432-72</t>
  </si>
  <si>
    <t>1.350288987</t>
  </si>
  <si>
    <t>00020126740014br.gov.bcb.pix013686b26441-94eb-4523-9e8a-79120d007b940212000057892652520400005303986540541.265802BR5907TIM S A6009SAO PAULO62290525R0500005789265230031033016304BBD2</t>
  </si>
  <si>
    <t xml:space="preserve">	871.554.432-04</t>
  </si>
  <si>
    <t>1.350181433</t>
  </si>
  <si>
    <t>00020126740014br.gov.bcb.pix013686b26441-94eb-4523-9e8a-79120d007b940212000058022649520400005303986540537.465802BR5907TIM S A6009SAO PAULO62290525R05000058022649080409574763042BA6</t>
  </si>
  <si>
    <t>705.508.902-62</t>
  </si>
  <si>
    <t>1.348923487</t>
  </si>
  <si>
    <t>00020126740014br.gov.bcb.pix013686b26441-94eb-4523-9e8a-79120d007b940212000057839675520400005303986540528.255802BR5907TIM S A6009SAO PAULO62290525R050000578396752703140640630483CF</t>
  </si>
  <si>
    <t>907.769.766-72</t>
  </si>
  <si>
    <t>1.348968148</t>
  </si>
  <si>
    <t>047.371.936-31</t>
  </si>
  <si>
    <t>1.350427094</t>
  </si>
  <si>
    <t>00020126740014br.gov.bcb.pix013686b26441-94eb-4523-9e8a-79120d007b940212000057835638520400005303986540530.005802BR5907TIM S A6009SAO PAULO62290525R0500005783563827031223236304963E</t>
  </si>
  <si>
    <t>146.868.114-14</t>
  </si>
  <si>
    <t>1.348927563</t>
  </si>
  <si>
    <t>140.157.834-92</t>
  </si>
  <si>
    <t>1.348796776</t>
  </si>
  <si>
    <t>00020126740014br.gov.bcb.pix013686b26441-94eb-4523-9e8a-79120d007b940212000057844766520400005303986540552.415802BR5907TIM S A6009SAO PAULO62290525R05000057844766270316310263048ABE</t>
  </si>
  <si>
    <t>988.524.343-72</t>
  </si>
  <si>
    <t>1.351985503</t>
  </si>
  <si>
    <t>939.995.502-87</t>
  </si>
  <si>
    <t>1.352329296</t>
  </si>
  <si>
    <t>641.317.002-63</t>
  </si>
  <si>
    <t>1.349795635</t>
  </si>
  <si>
    <t>00020126740014br.gov.bcb.pix013686b26441-94eb-4523-9e8a-79120d007b940212000057978160520400005303986540525.005802BR5907TIM S A6009SAO PAULO62290525R05000057978160060411235663046873</t>
  </si>
  <si>
    <t>565.797.723-87</t>
  </si>
  <si>
    <t>1.352679635</t>
  </si>
  <si>
    <t>00020126740014br.gov.bcb.pix013686b26441-94eb-4523-9e8a-79120d007b940212000057956306520400005303986540511.695802BR5907TIM S A6009SAO PAULO62290525R05000057956306020411531263048B13</t>
  </si>
  <si>
    <t>729.536.160-04</t>
  </si>
  <si>
    <t>1.352768487</t>
  </si>
  <si>
    <t>821.359.832-68</t>
  </si>
  <si>
    <t>1.349176722</t>
  </si>
  <si>
    <t>00020126740014br.gov.bcb.pix013686b26441-94eb-4523-9e8a-79120d007b940212000057893318520400005303986540539.985802BR5907TIM S A6009SAO PAULO62290525R0500005789331830031051496304EFE8</t>
  </si>
  <si>
    <t>100.957.792-13</t>
  </si>
  <si>
    <t>1.349654139</t>
  </si>
  <si>
    <t>00020126740014br.gov.bcb.pix013686b26441-94eb-4523-9e8a-79120d007b940212020021292251520400005303986540540.405802BR5907TIM S A6009SAO PAULO62290525R0502002129225130030948226304A722</t>
  </si>
  <si>
    <t>00020126740014br.gov.bcb.pix013686b26441-94eb-4523-9e8a-79120d007b940212000054768129520400005303986540537.055802BR5907TIM S A6009SAO PAULO62290525R36000054768129020408190063043868</t>
  </si>
  <si>
    <t>275.128.862-68</t>
  </si>
  <si>
    <t>1.351549493</t>
  </si>
  <si>
    <t>00020126740014br.gov.bcb.pix013686b26441-94eb-4523-9e8a-79120d007b940212000058050789520400005303986540523.955802BR5907TIM S A6009SAO PAULO62290525R05000058050789090413502163045355</t>
  </si>
  <si>
    <t>1.352559042</t>
  </si>
  <si>
    <t>00020126740014br.gov.bcb.pix013686b26441-94eb-4523-9e8a-79120d007b940212000054767153520400005303986540548.725802BR5907TIM S A6009SAO PAULO62290525R36000054767153310314583663043D7B</t>
  </si>
  <si>
    <t>1.348827726</t>
  </si>
  <si>
    <t>00020126740014br.gov.bcb.pix013686b26441-94eb-4523-9e8a-79120d007b940212000057920286520400005303986540520.005802BR5907TIM S A6009SAO PAULO62290525R0500005792028631031509246304BC6E</t>
  </si>
  <si>
    <t>992.950.832-53</t>
  </si>
  <si>
    <t>1.349263241</t>
  </si>
  <si>
    <t>00020126740014br.gov.bcb.pix013686b26441-94eb-4523-9e8a-79120d007b940212000057919280520400005303986540536.025802BR5907TIM S A6009SAO PAULO62290525R0500005791928031031149136304823E</t>
  </si>
  <si>
    <t>00020126740014br.gov.bcb.pix013686b26441-94eb-4523-9e8a-79120d007b940212000054767161520400005303986540530.905802BR5907TIM S A6009SAO PAULO62290525R3600005476716131031138306304706F</t>
  </si>
  <si>
    <t>817.689.582-20</t>
  </si>
  <si>
    <t>1.349421505</t>
  </si>
  <si>
    <t>00020126740014br.gov.bcb.pix013686b26441-94eb-4523-9e8a-79120d007b940212000057938003520400005303986540522.505802BR5907TIM S A6009SAO PAULO62290525R0500005793800301041359566304AAEB</t>
  </si>
  <si>
    <t>720.329.952-04</t>
  </si>
  <si>
    <t>1.350208082</t>
  </si>
  <si>
    <t>00020126740014br.gov.bcb.pix013686b26441-94eb-4523-9e8a-79120d007b940212000057953098520400005303986540535.135802BR5907TIM S A6009SAO PAULO62290525R0500005795309802041003216304AD8D</t>
  </si>
  <si>
    <t>961.568.802-91</t>
  </si>
  <si>
    <t>1.348732077</t>
  </si>
  <si>
    <t>321.149.232-15</t>
  </si>
  <si>
    <t>1.351634445</t>
  </si>
  <si>
    <t>00020126740014br.gov.bcb.pix013686b26441-94eb-4523-9e8a-79120d007b940212000057954732520400005303986540540.255802BR5907TIM S A6009SAO PAULO62290525R05000057954732020411013763048115</t>
  </si>
  <si>
    <t>095.663.502-44</t>
  </si>
  <si>
    <t>1.351729305</t>
  </si>
  <si>
    <t>00020126740014br.gov.bcb.pix013686b26441-94eb-4523-9e8a-79120d007b940212000057974791520400005303986540510.935802BR5907TIM S A6009SAO PAULO62290525R05000057974791060408091663048595</t>
  </si>
  <si>
    <t>00020126740014br.gov.bcb.pix013686b26441-94eb-4523-9e8a-79120d007b940212000054767989520400005303986540556.325802BR5907TIM S A6009SAO PAULO62290525R3600005476798901041434286304F52F</t>
  </si>
  <si>
    <t>00020126740014br.gov.bcb.pix013686b26441-94eb-4523-9e8a-79120d007b940212000054769594520400005303986540527.585802BR5907TIM S A6009SAO PAULO62290525R3600005476959406041049426304C842</t>
  </si>
  <si>
    <t>015.601.065-81</t>
  </si>
  <si>
    <t>1.349387283</t>
  </si>
  <si>
    <t>797.278.405-15</t>
  </si>
  <si>
    <t>1.349905540</t>
  </si>
  <si>
    <t>00020126740014br.gov.bcb.pix013686b26441-94eb-4523-9e8a-79120d007b940212000057953540520400005303986540520.575802BR5907TIM S A6009SAO PAULO62290525R0500005795354002041021546304FF49</t>
  </si>
  <si>
    <t>00020126740014br.gov.bcb.pix013686b26441-94eb-4523-9e8a-79120d007b940212000057955952520400005303986540538.385802BR5907TIM S A6009SAO PAULO62290525R050000579559520204114055630414D8</t>
  </si>
  <si>
    <t>700.723.066-02</t>
  </si>
  <si>
    <t>1.352776777</t>
  </si>
  <si>
    <t>00020126740014br.gov.bcb.pix013686b26441-94eb-4523-9e8a-79120d007b940212000054768555520400005303986540554.375802BR5907TIM S A6009SAO PAULO62290525R360000547685550204120651630445A7</t>
  </si>
  <si>
    <t>00020126740014br.gov.bcb.pix013686b26441-94eb-4523-9e8a-79120d007b940212000054769651520400005303986540530.005802BR5907TIM S A6009SAO PAULO62290525R36000054769651060411385863049A77</t>
  </si>
  <si>
    <t>946.116.456-49</t>
  </si>
  <si>
    <t>1.351911057</t>
  </si>
  <si>
    <t>077.508.856-09</t>
  </si>
  <si>
    <t>1.349722665</t>
  </si>
  <si>
    <t>526.141.586-15</t>
  </si>
  <si>
    <t>1.352474835</t>
  </si>
  <si>
    <t>00020126740014br.gov.bcb.pix013686b26441-94eb-4523-9e8a-79120d007b940212000054768728520400005303986540540.805802BR5907TIM S A6009SAO PAULO62290525R3600005476872802041559596304AA0F</t>
  </si>
  <si>
    <t>158.480.917-57</t>
  </si>
  <si>
    <t>074.074.117-94</t>
  </si>
  <si>
    <t>1.351872705</t>
  </si>
  <si>
    <t>00020126740014br.gov.bcb.pix013686b26441-94eb-4523-9e8a-79120d007b940212000057959612520400005303986540520.505802BR5907TIM S A6009SAO PAULO62290525R05000057959612020414514263042627</t>
  </si>
  <si>
    <t>081.886.844-90</t>
  </si>
  <si>
    <t>1.352751032</t>
  </si>
  <si>
    <t>107.651.314-04</t>
  </si>
  <si>
    <t>1.351978946</t>
  </si>
  <si>
    <t>389.869.814-91</t>
  </si>
  <si>
    <t>1.349648418</t>
  </si>
  <si>
    <t>00020126740014br.gov.bcb.pix013686b26441-94eb-4523-9e8a-79120d007b940212000054767133520400005303986540539.605802BR5907TIM S A6009SAO PAULO62290525R3600005476713331031105476304D181</t>
  </si>
  <si>
    <t>411.690.693-04</t>
  </si>
  <si>
    <t>1.349915622</t>
  </si>
  <si>
    <t>00020126740014br.gov.bcb.pix013686b26441-94eb-4523-9e8a-79120d007b940212000057923040520400005303986540525.175802BR5907TIM S A6009SAO PAULO62290525R0500005792304031031443206304033B</t>
  </si>
  <si>
    <t>474.213.203-34</t>
  </si>
  <si>
    <t>1.352321515</t>
  </si>
  <si>
    <t>078.044.583-04</t>
  </si>
  <si>
    <t>1.351818985</t>
  </si>
  <si>
    <t>00020126740014br.gov.bcb.pix013686b26441-94eb-4523-9e8a-79120d007b940212000057924279520400005303986540530.005802BR5907TIM S A6009SAO PAULO62290525R05000057924279310315404563041C35</t>
  </si>
  <si>
    <t>017.629.083-44</t>
  </si>
  <si>
    <t>1.352658965</t>
  </si>
  <si>
    <t>075.880.112-20</t>
  </si>
  <si>
    <t>1.349328125</t>
  </si>
  <si>
    <t>35376276000153</t>
  </si>
  <si>
    <t>7.2156277</t>
  </si>
  <si>
    <t>ABRIL M9</t>
  </si>
  <si>
    <t>00020126740014br.gov.bcb.pix013686b26441-94eb-4523-9e8a-79120d007b9402120000580642525204000053039865406646.695802BR5907TIM S A6009SAO PAULO62290525R05000058064252100410341263048DF0</t>
  </si>
  <si>
    <t>13190366000112</t>
  </si>
  <si>
    <t>7.2171212.10</t>
  </si>
  <si>
    <t>00020126740014br.gov.bcb.pix013686b26441-94eb-4523-9e8a-79120d007b940212000058065522520400005303986540549.565802BR5907TIM S A6009SAO PAULO62290525R05000058065522100411182163042676</t>
  </si>
  <si>
    <t>444.449.312-72</t>
  </si>
  <si>
    <t>1.349309537</t>
  </si>
  <si>
    <t>00020126740014br.gov.bcb.pix013686b26441-94eb-4523-9e8a-79120d007b940212000058004500520400005303986540550.005802BR5907TIM S A6009SAO PAULO62290525R050000580045000704120902630405F3</t>
  </si>
  <si>
    <t>000.865.162-05</t>
  </si>
  <si>
    <t>1.348975953</t>
  </si>
  <si>
    <t>00020126740014br.gov.bcb.pix013686b26441-94eb-4523-9e8a-79120d007b940212000058137655520400005303986540530.005802BR5907TIM S A6009SAO PAULO62290525R050000581376551504103153630498F9</t>
  </si>
  <si>
    <t>055.558.822-03</t>
  </si>
  <si>
    <t>1.351755565</t>
  </si>
  <si>
    <t>00020126740014br.gov.bcb.pix013686b26441-94eb-4523-9e8a-79120d007b940212000057982668520400005303986540520.005802BR5907TIM S A6009SAO PAULO62290525R0500005798266806041534216304A5E6</t>
  </si>
  <si>
    <t>00020126740014br.gov.bcb.pix013686b26441-94eb-4523-9e8a-79120d007b940212000054769771520400005303986540539.385802BR5907TIM S A6009SAO PAULO62290525R360000547697710604135016630416AA</t>
  </si>
  <si>
    <t>719.801.802-53</t>
  </si>
  <si>
    <t>1.349254706</t>
  </si>
  <si>
    <t>00020126740014br.gov.bcb.pix013686b26441-94eb-4523-9e8a-79120d007b940212000054769796520400005303986540560.835802BR5907TIM S A6009SAO PAULO62290525R360000547697960604140730630482CC</t>
  </si>
  <si>
    <t>00020126740014br.gov.bcb.pix013686b26441-94eb-4523-9e8a-79120d007b940212000054769951520400005303986540518.605802BR5907TIM S A6009SAO PAULO62290525R360000547699510604170213630428FF</t>
  </si>
  <si>
    <t>006.267.302-52</t>
  </si>
  <si>
    <t>1.349910474</t>
  </si>
  <si>
    <t>00020126740014br.gov.bcb.pix013686b26441-94eb-4523-9e8a-79120d007b940212000058024944520400005303986540525.005802BR5907TIM S A6009SAO PAULO62290525R05000058024944080411012663042A4A</t>
  </si>
  <si>
    <t>00020126740014br.gov.bcb.pix013686b26441-94eb-4523-9e8a-79120d007b940212000054770953520400005303986540540.005802BR5907TIM S A6009SAO PAULO62290525R36000054770953080409104763048684</t>
  </si>
  <si>
    <t>566.024.642-72</t>
  </si>
  <si>
    <t>1.350377400</t>
  </si>
  <si>
    <t>MIKAELY</t>
  </si>
  <si>
    <t>00020126740014br.gov.bcb.pix013686b26441-94eb-4523-9e8a-79120d007b940212000058290276520400005303986540540.405802BR5907TIM S A6009SAO PAULO62290525R0500005829027624041647476304A847</t>
  </si>
  <si>
    <t>00020126740014br.gov.bcb.pix013686b26441-94eb-4523-9e8a-79120d007b940212000058008036520400005303986540524.395802BR5907TIM S A6009SAO PAULO62290525R0500005800803607041404396304A696</t>
  </si>
  <si>
    <t>693.567.772-68</t>
  </si>
  <si>
    <t>1.349127390</t>
  </si>
  <si>
    <t>00020126740014br.gov.bcb.pix013686b26441-94eb-4523-9e8a-79120d007b940212000054769938520400005303986540528.785802BR5907TIM S A6009SAO PAULO62290525R3600005476993806041646576304A7DE</t>
  </si>
  <si>
    <t>00020126740014br.gov.bcb.pix013686b26441-94eb-4523-9e8a-79120d007b940212000058023129520400005303986540515.955802BR5907TIM S A6009SAO PAULO62290525R05000058023129080410093463040EA2</t>
  </si>
  <si>
    <t>00020126740014br.gov.bcb.pix013686b26441-94eb-4523-9e8a-79120d007b940212000058005621520400005303986540544.625802BR5907TIM S A6009SAO PAULO62290525R05000058005621070412401863040422</t>
  </si>
  <si>
    <t>027.767.392-57</t>
  </si>
  <si>
    <t>1.350337163</t>
  </si>
  <si>
    <t>MARINA</t>
  </si>
  <si>
    <t>00020126740014br.gov.bcb.pix013686b26441-94eb-4523-9e8a-79120d007b940212000058004264520400005303986540522.645802BR5907TIM S A6009SAO PAULO62290525R05000058004264070412030563041E5C</t>
  </si>
  <si>
    <t>688.605.602-68</t>
  </si>
  <si>
    <t>1.348980389</t>
  </si>
  <si>
    <t>00020126740014br.gov.bcb.pix013686b26441-94eb-4523-9e8a-79120d007b940212000054769993520400005303986540550.005802BR5907TIM S A6009SAO PAULO62290525R36000054769993060417534663042770</t>
  </si>
  <si>
    <t>096.209.707-13</t>
  </si>
  <si>
    <t>1.351609094</t>
  </si>
  <si>
    <t>00020126740014br.gov.bcb.pix013686b26441-94eb-4523-9e8a-79120d007b940212000058009538520400005303986540541.605802BR5907TIM S A6009SAO PAULO62290525R0500005800953807041452126304120A</t>
  </si>
  <si>
    <t>019.047.272-39</t>
  </si>
  <si>
    <t>1.349888094</t>
  </si>
  <si>
    <t>00020126740014br.gov.bcb.pix013686b26441-94eb-4523-9e8a-79120d007b940212000058097959520400005303986540514.705802BR5907TIM S A6009SAO PAULO62290525R05000058097959130411122863040B52</t>
  </si>
  <si>
    <t>887.834.642-04</t>
  </si>
  <si>
    <t>1.348940368</t>
  </si>
  <si>
    <t>00020126740014br.gov.bcb.pix013686b26441-94eb-4523-9e8a-79120d007b940212000058045904520400005303986540523.245802BR5907TIM S A6009SAO PAULO62290525R05000058045904090410170463045E42</t>
  </si>
  <si>
    <t>00020126740014br.gov.bcb.pix013686b26441-94eb-4523-9e8a-79120d007b940212000054770447520400005303986540537.345802BR5907TIM S A6009SAO PAULO62290525R3600005477044707041224066304E7DF</t>
  </si>
  <si>
    <t>1.352796393</t>
  </si>
  <si>
    <t>031.887.942-58</t>
  </si>
  <si>
    <t>1.352495792</t>
  </si>
  <si>
    <t>588.161.272-87</t>
  </si>
  <si>
    <t>1.349592651</t>
  </si>
  <si>
    <t>00020126740014br.gov.bcb.pix013686b26441-94eb-4523-9e8a-79120d007b940212000058120233520400005303986540569.935802BR5907TIM S A6009SAO PAULO62290525R050000581202331404120550630483E3</t>
  </si>
  <si>
    <t>00020126740014br.gov.bcb.pix013686b26441-94eb-4523-9e8a-79120d007b940212000054770317520400005303986540541.055802BR5907TIM S A6009SAO PAULO62290525R3600005477031707041021376304280B</t>
  </si>
  <si>
    <t>034.216.332-90</t>
  </si>
  <si>
    <t>1.350344012</t>
  </si>
  <si>
    <t>00020126740014br.gov.bcb.pix013686b26441-94eb-4523-9e8a-79120d007b940212000058024212520400005303986540550.005802BR5907TIM S A6009SAO PAULO62290525R0500005802421208041041396304581C</t>
  </si>
  <si>
    <t>00020126740014br.gov.bcb.pix013686b26441-94eb-4523-9e8a-79120d007b940212000058008366520400005303986540512.755802BR5907TIM S A6009SAO PAULO62290525R050000580083660704141417630461DA</t>
  </si>
  <si>
    <t>00020126740014br.gov.bcb.pix013686b26441-94eb-4523-9e8a-79120d007b940212000058048692520400005303986540525.005802BR5907TIM S A6009SAO PAULO62290525R0500005804869209041205366304C5DC</t>
  </si>
  <si>
    <t>00020126740014br.gov.bcb.pix013686b26441-94eb-4523-9e8a-79120d007b940212000058169646520400005303986540522.595802BR5907TIM S A6009SAO PAULO62290525R0500005816964616041756596304ECF3</t>
  </si>
  <si>
    <t>053.375.742-80</t>
  </si>
  <si>
    <t>1.349892875</t>
  </si>
  <si>
    <t>00020126740014br.gov.bcb.pix013686b26441-94eb-4523-9e8a-79120d007b940212000058003961520400005303986540530.005802BR5907TIM S A6009SAO PAULO62290525R0500005800396107041154026304EAEB</t>
  </si>
  <si>
    <t>515.928.432-04</t>
  </si>
  <si>
    <t>1.352772902</t>
  </si>
  <si>
    <t>00020126740014br.gov.bcb.pix013686b26441-94eb-4523-9e8a-79120d007b940212000058049431520400005303986540562.075802BR5907TIM S A6009SAO PAULO62290525R05000058049431090412352463049AAC</t>
  </si>
  <si>
    <t>603.128.152-04</t>
  </si>
  <si>
    <t>1.349250972</t>
  </si>
  <si>
    <t>00020126740014br.gov.bcb.pix013686b26441-94eb-4523-9e8a-79120d007b940212000058044715520400005303986540522.665802BR5907TIM S A6009SAO PAULO62290525R0500005804471509040930196304C36D</t>
  </si>
  <si>
    <t>230.516.122-00</t>
  </si>
  <si>
    <t>1.350138694</t>
  </si>
  <si>
    <t>00020126740014br.gov.bcb.pix013686b26441-94eb-4523-9e8a-79120d007b940212000054772825520400005303986540528.465802BR5907TIM S A6009SAO PAULO62290525R3600005477282510041442316304069E</t>
  </si>
  <si>
    <t>00020126740014br.gov.bcb.pix013686b26441-94eb-4523-9e8a-79120d007b940212000058123226520400005303986540541.175802BR5907TIM S A6009SAO PAULO62290525R0500005812322614041406036304D150</t>
  </si>
  <si>
    <t>027.002.972-96</t>
  </si>
  <si>
    <t>1.351154061</t>
  </si>
  <si>
    <t>00020126740014br.gov.bcb.pix013686b26441-94eb-4523-9e8a-79120d007b940212020021308238520400005303986540525.825802BR5907TIM S A6009SAO PAULO62290525R05020021308238220411431063046C80</t>
  </si>
  <si>
    <t>00020126740014br.gov.bcb.pix013686b26441-94eb-4523-9e8a-79120d007b940212000058126432520400005303986540530.005802BR5907TIM S A6009SAO PAULO62290525R05000058126432140416175463042D4D</t>
  </si>
  <si>
    <t>00020126740014br.gov.bcb.pix013686b26441-94eb-4523-9e8a-79120d007b940212000058119980520400005303986540529.355802BR5907TIM S A6009SAO PAULO62290525R0500005811998014041156236304505F</t>
  </si>
  <si>
    <t>027.223.372-23</t>
  </si>
  <si>
    <t>1.349600799</t>
  </si>
  <si>
    <t>00020126740014br.gov.bcb.pix013686b26441-94eb-4523-9e8a-79120d007b940212000054773917520400005303986540530.135802BR5907TIM S A6009SAO PAULO62290525R3600005477391713041635466304850B</t>
  </si>
  <si>
    <t>387.871.802-00</t>
  </si>
  <si>
    <t>1.349299875</t>
  </si>
  <si>
    <t>00020126740014br.gov.bcb.pix013686b26441-94eb-4523-9e8a-79120d007b940212000054773783520400005303986540530.835802BR5907TIM S A6009SAO PAULO62290525R3600005477378313041357056304D62F</t>
  </si>
  <si>
    <t>00020126740014br.gov.bcb.pix013686b26441-94eb-4523-9e8a-79120d007b940212000054774459520400005303986540534.555802BR5907TIM S A6009SAO PAULO62290525R36000054774459140414454163040C78</t>
  </si>
  <si>
    <t>337.414.505-10</t>
  </si>
  <si>
    <t>1.351552705</t>
  </si>
  <si>
    <t>00020126740014br.gov.bcb.pix013686b26441-94eb-4523-9e8a-79120d007b940212000058027044520400005303986540520.005802BR5907TIM S A6009SAO PAULO62290525R0500005802704408041201586304D793</t>
  </si>
  <si>
    <t>897.492.945-72</t>
  </si>
  <si>
    <t>1.349908537</t>
  </si>
  <si>
    <t>00020126740014br.gov.bcb.pix013686b26441-94eb-4523-9e8a-79120d007b940212000058030772520400005303986540525.005802BR5907TIM S A6009SAO PAULO62290525R050000580307720804141038630429BA</t>
  </si>
  <si>
    <t>193.390.115-20</t>
  </si>
  <si>
    <t>1.350131899</t>
  </si>
  <si>
    <t>00020126740014br.gov.bcb.pix013686b26441-94eb-4523-9e8a-79120d007b940212000058136816520400005303986540529.025802BR5907TIM S A6009SAO PAULO62290525R0500005813681615040959496304F1B0</t>
  </si>
  <si>
    <t>021.440.555-99</t>
  </si>
  <si>
    <t>1.350181672</t>
  </si>
  <si>
    <t>00020126740014br.gov.bcb.pix013686b26441-94eb-4523-9e8a-79120d007b940212000058031553520400005303986540541.155802BR5907TIM S A6009SAO PAULO62290525R0500005803155308041438596304DA47</t>
  </si>
  <si>
    <t>00020126740014br.gov.bcb.pix013686b26441-94eb-4523-9e8a-79120d007b940212000058029132520400005303986540535.015802BR5907TIM S A6009SAO PAULO62290525R05000058029132080413171663046C21</t>
  </si>
  <si>
    <t>094.527.375-49</t>
  </si>
  <si>
    <t>1.349276737</t>
  </si>
  <si>
    <t>00020126740014br.gov.bcb.pix013686b26441-94eb-4523-9e8a-79120d007b940212000054771165520400005303986540520.855802BR5907TIM S A6009SAO PAULO62290525R3600005477116508041212076304145C</t>
  </si>
  <si>
    <t>114.138.835-91</t>
  </si>
  <si>
    <t>1.349679205</t>
  </si>
  <si>
    <t>00020126740014br.gov.bcb.pix013686b26441-94eb-4523-9e8a-79120d007b940212000058164187520400005303986540525.005802BR5907TIM S A6009SAO PAULO62290525R05000058164187160414093363046D73</t>
  </si>
  <si>
    <t>213.908.355-53</t>
  </si>
  <si>
    <t>1.349418346</t>
  </si>
  <si>
    <t>00020126740014br.gov.bcb.pix013686b26441-94eb-4523-9e8a-79120d007b940212000058344803520400005303986540561.225802BR5907TIM S A6009SAO PAULO62290525R05000058344803270413401663046B04</t>
  </si>
  <si>
    <t xml:space="preserve">505.439.465-68 </t>
  </si>
  <si>
    <t>1.351907434</t>
  </si>
  <si>
    <t>00020126740014br.gov.bcb.pix013686b26441-94eb-4523-9e8a-79120d007b940212000058160633520400005303986540546.155802BR5907TIM S A6009SAO PAULO62290525R05000058160633160411385363045A48</t>
  </si>
  <si>
    <t>00020126740014br.gov.bcb.pix013686b26441-94eb-4523-9e8a-79120d007b940212000058126950520400005303986540552.825802BR5907TIM S A6009SAO PAULO62290525R0500005812695014041643156304A9D8</t>
  </si>
  <si>
    <t>020.045.063-85</t>
  </si>
  <si>
    <t>1.352476618</t>
  </si>
  <si>
    <t>387.853.233-49</t>
  </si>
  <si>
    <t>1.350143415</t>
  </si>
  <si>
    <t>00020126740014br.gov.bcb.pix013686b26441-94eb-4523-9e8a-79120d007b940212000058064766520400005303986540520.005802BR5907TIM S A6009SAO PAULO62290525R05000058064766100410522463040123</t>
  </si>
  <si>
    <t>00020126740014br.gov.bcb.pix013686b26441-94eb-4523-9e8a-79120d007b940212000054772965520400005303986540537.125802BR5907TIM S A6009SAO PAULO62290525R36000054772965100417323663046E69</t>
  </si>
  <si>
    <t>00020126740014br.gov.bcb.pix013686b26441-94eb-4523-9e8a-79120d007b940212000054771412520400005303986540519.225802BR5907TIM S A6009SAO PAULO62290525R36000054771412080417004663045361</t>
  </si>
  <si>
    <t>00020126740014br.gov.bcb.pix013686b26441-94eb-4523-9e8a-79120d007b940212000054771414520400005303986540555.005802BR5907TIM S A6009SAO PAULO62290525R360000547714140804170525630443EA</t>
  </si>
  <si>
    <t>00020126740014br.gov.bcb.pix013686b26441-94eb-4523-9e8a-79120d007b940212000058051036520400005303986540520.605802BR5907TIM S A6009SAO PAULO62290525R050000580510360904135934630480E7</t>
  </si>
  <si>
    <t>00020126740014br.gov.bcb.pix013686b26441-94eb-4523-9e8a-79120d007b940212000054773626520400005303986540556.065802BR5907TIM S A6009SAO PAULO62290525R3600005477362613041034486304E7BF</t>
  </si>
  <si>
    <t>00020126740014br.gov.bcb.pix013686b26441-94eb-4523-9e8a-79120d007b940212000058241163520400005303986540541.165802BR5907TIM S A6009SAO PAULO62290525R050000582411632204141723630496CF</t>
  </si>
  <si>
    <t>032.588.136-71</t>
  </si>
  <si>
    <t>1.349094519</t>
  </si>
  <si>
    <t>00020126740014br.gov.bcb.pix013686b26441-94eb-4523-9e8a-79120d007b940212020021301606520400005303986540531.565802BR5907TIM S A6009SAO PAULO62290525R050200213016061404132110630449EB</t>
  </si>
  <si>
    <t>00020126740014br.gov.bcb.pix013686b26441-94eb-4523-9e8a-79120d007b940212000054774174520400005303986540541.135802BR5907TIM S A6009SAO PAULO62290525R360000547741741404094912630442F9</t>
  </si>
  <si>
    <t>00020126740014br.gov.bcb.pix013686b26441-94eb-4523-9e8a-79120d007b940212000054773795520400005303986540541.195802BR5907TIM S A6009SAO PAULO62290525R36000054773795130414063963041513</t>
  </si>
  <si>
    <t>00020126740014br.gov.bcb.pix013686b26441-94eb-4523-9e8a-79120d007b940212000054774415520400005303986540529.115802BR5907TIM S A6009SAO PAULO62290525R36000054774415140413305063049617</t>
  </si>
  <si>
    <t>095.000.206-29</t>
  </si>
  <si>
    <t>1.350142516</t>
  </si>
  <si>
    <t>00020126740014br.gov.bcb.pix013686b26441-94eb-4523-9e8a-79120d007b940212000058123161520400005303986540543.425802BR5907TIM S A6009SAO PAULO62290525R05000058123161140414043563044DDD</t>
  </si>
  <si>
    <t>00020126740014br.gov.bcb.pix013686b26441-94eb-4523-9e8a-79120d007b940212000054774152520400005303986540522.775802BR5907TIM S A6009SAO PAULO62290525R3600005477415214040934356304A2AC</t>
  </si>
  <si>
    <t>00020126740014br.gov.bcb.pix013686b26441-94eb-4523-9e8a-79120d007b940212000058158866520400005303986540537.145802BR5907TIM S A6009SAO PAULO62290525R05000058158866160410281863046EBD</t>
  </si>
  <si>
    <t>953.162.216-72</t>
  </si>
  <si>
    <t>1.349836945</t>
  </si>
  <si>
    <t>00020126740014br.gov.bcb.pix013686b26441-94eb-4523-9e8a-79120d007b940212000058095189520400005303986540530.005802BR5907TIM S A6009SAO PAULO62290525R0500005809518913041011476304AE89</t>
  </si>
  <si>
    <t>051.899.356-63</t>
  </si>
  <si>
    <t>1.351873792</t>
  </si>
  <si>
    <t>00020126740014br.gov.bcb.pix013686b26441-94eb-4523-9e8a-79120d007b940212000058147638520400005303986540516.855802BR5907TIM S A6009SAO PAULO62290525R0500005814763815041622526304C80F</t>
  </si>
  <si>
    <t>00020126740014br.gov.bcb.pix013686b26441-94eb-4523-9e8a-79120d007b940212000058069365520400005303986540536.005802BR5907TIM S A6009SAO PAULO62290525R0500005806936510041407206304CAFE</t>
  </si>
  <si>
    <t>033.654.566-51</t>
  </si>
  <si>
    <t>1.349600708</t>
  </si>
  <si>
    <t>00020126740014br.gov.bcb.pix013686b26441-94eb-4523-9e8a-79120d007b940212000058098204520400005303986540524.755802BR5907TIM S A6009SAO PAULO62290525R0500005809820413041120086304638B</t>
  </si>
  <si>
    <t>034.060.186-88</t>
  </si>
  <si>
    <t>1.349204649</t>
  </si>
  <si>
    <t>356.346.776-53</t>
  </si>
  <si>
    <t>1.349942703</t>
  </si>
  <si>
    <t>00020126740014br.gov.bcb.pix013686b26441-94eb-4523-9e8a-79120d007b940212000058054692520400005303986540537.425802BR5907TIM S A6009SAO PAULO62290525R0500005805469209041634326304076D</t>
  </si>
  <si>
    <t>056.327.456-51</t>
  </si>
  <si>
    <t>1.350184726</t>
  </si>
  <si>
    <t>00020126740014br.gov.bcb.pix013686b26441-94eb-4523-9e8a-79120d007b940212000058345949520400005303986540530.005802BR5907TIM S A6009SAO PAULO62290525R0500005834594927041420586304EF2C</t>
  </si>
  <si>
    <t>988.577.036-49</t>
  </si>
  <si>
    <t>1.350464783</t>
  </si>
  <si>
    <t>00020126740014br.gov.bcb.pix013686b26441-94eb-4523-9e8a-79120d007b940212000058158124520400005303986540561.625802BR5907TIM S A6009SAO PAULO62290525R0500005815812416040959166304CBA7</t>
  </si>
  <si>
    <t>00020126740014br.gov.bcb.pix013686b26441-94eb-4523-9e8a-79120d007b940212000054773800520400005303986540551.645802BR5907TIM S A6009SAO PAULO62290525R36000054773800130414103563041675</t>
  </si>
  <si>
    <t>679.375.516-15</t>
  </si>
  <si>
    <t>1.351492207</t>
  </si>
  <si>
    <t>00020126740014br.gov.bcb.pix013686b26441-94eb-4523-9e8a-79120d007b940212000058240468520400005303986540533.355802BR5907TIM S A6009SAO PAULO62290525R05000058240468220413360163046BDF</t>
  </si>
  <si>
    <t>00020126740014br.gov.bcb.pix013686b26441-94eb-4523-9e8a-79120d007b940212000058105517520400005303986540530.005802BR5907TIM S A6009SAO PAULO62290525R0500005810551713041514146304AABE</t>
  </si>
  <si>
    <t>00020126740014br.gov.bcb.pix013686b26441-94eb-4523-9e8a-79120d007b940212000054774448520400005303986540531.405802BR5907TIM S A6009SAO PAULO62290525R3600005477444814041419376304DFBF</t>
  </si>
  <si>
    <t>00020126740014br.gov.bcb.pix013686b26441-94eb-4523-9e8a-79120d007b940212000058134721520400005303986540543.885802BR5907TIM S A6009SAO PAULO62290525R050000581347211504084205630402A0</t>
  </si>
  <si>
    <t>00020126740014br.gov.bcb.pix013686b26441-94eb-4523-9e8a-79120d007b940212000058145031520400005303986540543.695802BR5907TIM S A6009SAO PAULO62290525R0500005814503115041446556304185D</t>
  </si>
  <si>
    <t>049.586.216-95</t>
  </si>
  <si>
    <t>1.348973926</t>
  </si>
  <si>
    <t>00020126740014br.gov.bcb.pix013686b26441-94eb-4523-9e8a-79120d007b940212000058030482520400005303986540525.005802BR5907TIM S A6009SAO PAULO62290525R050000580304820804140143630491F7</t>
  </si>
  <si>
    <t>954.252.336-04</t>
  </si>
  <si>
    <t>1.352638264</t>
  </si>
  <si>
    <t>277.817.206-87</t>
  </si>
  <si>
    <t>1.350425477</t>
  </si>
  <si>
    <t>00020126740014br.gov.bcb.pix013686b26441-94eb-4523-9e8a-79120d007b940212000058213682520400005303986540525.005802BR5907TIM S A6009SAO PAULO62290525R0500005821368220041131216304053E</t>
  </si>
  <si>
    <t>391.526.506-34</t>
  </si>
  <si>
    <t>1.352783640</t>
  </si>
  <si>
    <t>190.367.187-67</t>
  </si>
  <si>
    <t>1.352051828</t>
  </si>
  <si>
    <t>00020126740014br.gov.bcb.pix013686b26441-94eb-4523-9e8a-79120d007b940212000058098029520400005303986540530.005802BR5907TIM S A6009SAO PAULO62290525R05000058098029130411160963045DDF</t>
  </si>
  <si>
    <t>704.680.384-69</t>
  </si>
  <si>
    <t>1.352778135</t>
  </si>
  <si>
    <t>009.165.324-02</t>
  </si>
  <si>
    <t>1.351164176</t>
  </si>
  <si>
    <t>115.589.304-26</t>
  </si>
  <si>
    <t>1.351224813</t>
  </si>
  <si>
    <t>00020126740014br.gov.bcb.pix013686b26441-94eb-4523-9e8a-79120d007b940212000058032266520400005303986540520.595802BR5907TIM S A6009SAO PAULO62290525R0500005803226608041501276304F047</t>
  </si>
  <si>
    <t>452.296.194-49</t>
  </si>
  <si>
    <t>1.349247527</t>
  </si>
  <si>
    <t>00020126740014br.gov.bcb.pix013686b26441-94eb-4523-9e8a-79120d007b940212000054770258520400005303986540562.235802BR5907TIM S A6009SAO PAULO62290525R3600005477025807040935156304F021</t>
  </si>
  <si>
    <t>00020126740014br.gov.bcb.pix013686b26441-94eb-4523-9e8a-79120d007b940212000054770231520400005303986540527.885802BR5907TIM S A6009SAO PAULO62290525R36000054770231070409180363048207</t>
  </si>
  <si>
    <t>121.660.094-50</t>
  </si>
  <si>
    <t>1.352709453</t>
  </si>
  <si>
    <t>030.421.834-08</t>
  </si>
  <si>
    <t>1.349880564</t>
  </si>
  <si>
    <t>00020126740014br.gov.bcb.pix013686b26441-94eb-4523-9e8a-79120d007b940212000058094535520400005303986540528.225802BR5907TIM S A6009SAO PAULO62290525R0500005809453513040919586304DA96</t>
  </si>
  <si>
    <t>00020126740014br.gov.bcb.pix013686b26441-94eb-4523-9e8a-79120d007b940212000054770989520400005303986540527.175802BR5907TIM S A6009SAO PAULO62290525R3600005477098908040939026304FBD9</t>
  </si>
  <si>
    <t>00020126740014br.gov.bcb.pix013686b26441-94eb-4523-9e8a-79120d007b940212000054770361520400005303986540553.335802BR5907TIM S A6009SAO PAULO62290525R3600005477036107041050466304429D</t>
  </si>
  <si>
    <t>371.015.794-34</t>
  </si>
  <si>
    <t>1.349313405</t>
  </si>
  <si>
    <t>00020126740014br.gov.bcb.pix013686b26441-94eb-4523-9e8a-79120d007b940212000058003272520400005303986540530.005802BR5907TIM S A6009SAO PAULO62290525R05000058003272070411334163042C88</t>
  </si>
  <si>
    <t>35.912.413/0001-27</t>
  </si>
  <si>
    <t>1.349315230</t>
  </si>
  <si>
    <t>00020126740014br.gov.bcb.pix013686b26441-94eb-4523-9e8a-79120d007b940212000054774522520400005303986540538.815802BR5907TIM S A6009SAO PAULO62290525R3600005477452214041548106304DBCB</t>
  </si>
  <si>
    <t>034.066.214-06</t>
  </si>
  <si>
    <t>1.349049131</t>
  </si>
  <si>
    <t>00020126740014br.gov.bcb.pix013686b26441-94eb-4523-9e8a-79120d007b940212000054770268520400005303986540544.635802BR5907TIM S A6009SAO PAULO62290525R36000054770268070409412663049EBC</t>
  </si>
  <si>
    <t>611.419.673-24</t>
  </si>
  <si>
    <t>1.349792147</t>
  </si>
  <si>
    <t>00020126740014br.gov.bcb.pix013686b26441-94eb-4523-9e8a-79120d007b940212000057999482520400005303986540520.715802BR5907TIM S A6009SAO PAULO62290525R05000057999482070411170163049771</t>
  </si>
  <si>
    <t>138.724.513-91</t>
  </si>
  <si>
    <t>1.352331110</t>
  </si>
  <si>
    <t>003.828.563-09</t>
  </si>
  <si>
    <t>1.352806124</t>
  </si>
  <si>
    <t>54661395000100</t>
  </si>
  <si>
    <t>7.2164258</t>
  </si>
  <si>
    <t>00020126740014br.gov.bcb.pix013686b26441-94eb-4523-9e8a-79120d007b9402120000581270295204000053039865406116.185802BR5907TIM S A6009SAO PAULO62290525R0500005812702914041647396304A573</t>
  </si>
  <si>
    <t>50919900000105</t>
  </si>
  <si>
    <t>7.2165975</t>
  </si>
  <si>
    <t>00020126740014br.gov.bcb.pix013686b26441-94eb-4523-9e8a-79120d007b9402120000547748375204000053039865406134.645802BR5907TIM S A6009SAO PAULO62290525R3600005477483715041002236304D64B</t>
  </si>
  <si>
    <t>13888793000179</t>
  </si>
  <si>
    <t>7.2097832.10</t>
  </si>
  <si>
    <t>00020126740014br.gov.bcb.pix013686b26441-94eb-4523-9e8a-79120d007b940212000054774947520400005303986540540.005802BR5907TIM S A6009SAO PAULO62290525R3600005477494715041205346304274C</t>
  </si>
  <si>
    <t>23765480000187</t>
  </si>
  <si>
    <t>7.2158225</t>
  </si>
  <si>
    <t>00020126740014br.gov.bcb.pix013686b26441-94eb-4523-9e8a-79120d007b9402120000547738345204000053039865406231.535802BR5907TIM S A6009SAO PAULO62290525R3600005477383413041504536304526F</t>
  </si>
  <si>
    <t>00020126740014br.gov.bcb.pix013686b26441-94eb-4523-9e8a-79120d007b9402120000547755675204000053039865406520.835802BR5907TIM S A6009SAO PAULO62290525R3600005477556716041133246304288C</t>
  </si>
  <si>
    <t>18963266000103</t>
  </si>
  <si>
    <t>7.2157168</t>
  </si>
  <si>
    <t>00020126740014br.gov.bcb.pix013686b26441-94eb-4523-9e8a-79120d007b9402120000547755185204000053039865406207.855802BR5907TIM S A6009SAO PAULO62290525R36000054775518160410444963046D92</t>
  </si>
  <si>
    <t>00020126740014br.gov.bcb.pix013686b26441-94eb-4523-9e8a-79120d007b9402120000547757225204000053039865406659.685802BR5907TIM S A6009SAO PAULO62290525R3600005477572216041520226304E3D6</t>
  </si>
  <si>
    <t>07887934000136</t>
  </si>
  <si>
    <t>7.2184309</t>
  </si>
  <si>
    <t>00020126740014br.gov.bcb.pix013686b26441-94eb-4523-9e8a-79120d007b9402120000581674365204000053039865406123.485802BR5907TIM S A6009SAO PAULO62290525R05000058167436160416231463040A2F</t>
  </si>
  <si>
    <t>50915705000107</t>
  </si>
  <si>
    <t>7.2168585.10</t>
  </si>
  <si>
    <t>00020126740014br.gov.bcb.pix013686b26441-94eb-4523-9e8a-79120d007b940212000054775050520400005303986540513.165802BR5907TIM S A6009SAO PAULO62290525R3600005477505015041337586304F2BF</t>
  </si>
  <si>
    <t>1.350311615</t>
  </si>
  <si>
    <t>00020126740014br.gov.bcb.pix013686b26441-94eb-4523-9e8a-79120d007b940212000054775983520400005303986540541.495802BR5907TIM S A6009SAO PAULO62290525R3600005477598317040912506304E97B</t>
  </si>
  <si>
    <t>00020126740014br.gov.bcb.pix013686b26441-94eb-4523-9e8a-79120d007b940212000054775816520400005303986540539.025802BR5907TIM S A6009SAO PAULO62290525R36000054775816160417395563047357</t>
  </si>
  <si>
    <t>00020126740014br.gov.bcb.pix013686b26441-94eb-4523-9e8a-79120d007b940212000054776041520400005303986540525.455802BR5907TIM S A6009SAO PAULO62290525R3600005477604117041017316304E293</t>
  </si>
  <si>
    <t>594.058.642-20</t>
  </si>
  <si>
    <t>1.349431557</t>
  </si>
  <si>
    <t>00020126740014br.gov.bcb.pix013686b26441-94eb-4523-9e8a-79120d007b940212000058258529520400005303986540530.005802BR5907TIM S A6009SAO PAULO62290525R0500005825852923040945126304E6A4</t>
  </si>
  <si>
    <t>00020126740014br.gov.bcb.pix013686b26441-94eb-4523-9e8a-79120d007b940212000054775813520400005303986540550.005802BR5907TIM S A6009SAO PAULO62290525R3600005477581316041732456304E873</t>
  </si>
  <si>
    <t>00020126740014br.gov.bcb.pix013686b26441-94eb-4523-9e8a-79120d007b940212000058240995520400005303986540530.005802BR5907TIM S A6009SAO PAULO62290525R050000582409952204135428630461A7</t>
  </si>
  <si>
    <t>00020126740014br.gov.bcb.pix013686b26441-94eb-4523-9e8a-79120d007b940212000054780137520400005303986540557.495802BR5907TIM S A6009SAO PAULO62290525R360000547801372704151325630459D6</t>
  </si>
  <si>
    <t>00020126740014br.gov.bcb.pix013686b26441-94eb-4523-9e8a-79120d007b940212000058176114520400005303986540561.455802BR5907TIM S A6009SAO PAULO62290525R05000058176114170408411963046880</t>
  </si>
  <si>
    <t>002.711.592-51</t>
  </si>
  <si>
    <t>1.351535461</t>
  </si>
  <si>
    <t>00020126740014br.gov.bcb.pix013686b26441-94eb-4523-9e8a-79120d007b940212000058186456520400005303986540544.575802BR5907TIM S A6009SAO PAULO62290525R05000058186456170415361663041033</t>
  </si>
  <si>
    <t>00020126740014br.gov.bcb.pix013686b26441-94eb-4523-9e8a-79120d007b940212000058181352520400005303986540543.105802BR5907TIM S A6009SAO PAULO62290525R0500005818135217041146376304A5FC</t>
  </si>
  <si>
    <t>656.859.542-04</t>
  </si>
  <si>
    <t>1.351701912</t>
  </si>
  <si>
    <t>00020126740014br.gov.bcb.pix013686b26441-94eb-4523-9e8a-79120d007b940212000058233318520400005303986540522.725802BR5907TIM S A6009SAO PAULO62290525R05000058233318220409284863044DB8</t>
  </si>
  <si>
    <t>018.758.712-41</t>
  </si>
  <si>
    <t>1.349027777</t>
  </si>
  <si>
    <t>00020126740014br.gov.bcb.pix013686b26441-94eb-4523-9e8a-79120d007b940212000058259614520400005303986540543.725802BR5907TIM S A6009SAO PAULO62290525R0500005825961423041019446304C2E5</t>
  </si>
  <si>
    <t>00020126740014br.gov.bcb.pix013686b26441-94eb-4523-9e8a-79120d007b940212000054776020520400005303986540563.315802BR5907TIM S A6009SAO PAULO62290525R36000054776020170409472863041137</t>
  </si>
  <si>
    <t>136.192.412-87</t>
  </si>
  <si>
    <t>1.349322314</t>
  </si>
  <si>
    <t>00020126740014br.gov.bcb.pix013686b26441-94eb-4523-9e8a-79120d007b940212000058187488520400005303986540530.005802BR5907TIM S A6009SAO PAULO62290525R050000581874881704161321630463F9</t>
  </si>
  <si>
    <t>00020126740014br.gov.bcb.pix013686b26441-94eb-4523-9e8a-79120d007b940212000058180416520400005303986540531.005802BR5907TIM S A6009SAO PAULO62290525R050000581804161704111128630489D4</t>
  </si>
  <si>
    <t>00020126740014br.gov.bcb.pix013686b26441-94eb-4523-9e8a-79120d007b940212000058214187520400005303986540548.485802BR5907TIM S A6009SAO PAULO62290525R05000058214187200411502263043097</t>
  </si>
  <si>
    <t>193.798.622-53</t>
  </si>
  <si>
    <t>1.353042397</t>
  </si>
  <si>
    <t>828.793.462-15</t>
  </si>
  <si>
    <t>1.349090845</t>
  </si>
  <si>
    <t>00020126740014br.gov.bcb.pix013686b26441-94eb-4523-9e8a-79120d007b940212000054775967520400005303986540544.405802BR5907TIM S A6009SAO PAULO62290525R36000054775967170408593563040410</t>
  </si>
  <si>
    <t>00020126740014br.gov.bcb.pix013686b26441-94eb-4523-9e8a-79120d007b940212000058181305520400005303986540544.595802BR5907TIM S A6009SAO PAULO62290525R0500005818130517041145066304FF9D</t>
  </si>
  <si>
    <t>800.859.202-82</t>
  </si>
  <si>
    <t>1.352123722</t>
  </si>
  <si>
    <t>00020126740014br.gov.bcb.pix013686b26441-94eb-4523-9e8a-79120d007b940212000058346652520400005303986540540.765802BR5907TIM S A6009SAO PAULO62290525R0500005834665227041447316304A49C</t>
  </si>
  <si>
    <t>00020126740014br.gov.bcb.pix013686b26441-94eb-4523-9e8a-79120d007b940212000058348895520400005303986540530.005802BR5907TIM S A6009SAO PAULO62290525R05000058348895270416081263048AB3</t>
  </si>
  <si>
    <t>00020126740014br.gov.bcb.pix013686b26441-94eb-4523-9e8a-79120d007b940212000058239907520400005303986540543.495802BR5907TIM S A6009SAO PAULO62290525R05000058239907220413170263044AD3</t>
  </si>
  <si>
    <t>104.203.801-59</t>
  </si>
  <si>
    <t>1.351367334</t>
  </si>
  <si>
    <t>00020126740014br.gov.bcb.pix013686b26441-94eb-4523-9e8a-79120d007b940212000054776079520400005303986540530.005802BR5907TIM S A6009SAO PAULO62290525R36000054776079170410585563045A71</t>
  </si>
  <si>
    <t>00020126740014br.gov.bcb.pix013686b26441-94eb-4523-9e8a-79120d007b940212000054776038520400005303986540546.325802BR5907TIM S A6009SAO PAULO62290525R36000054776038170411271663046F2A</t>
  </si>
  <si>
    <t>00020126740014br.gov.bcb.pix013686b26441-94eb-4523-9e8a-79120d007b940212000054776040520400005303986540525.995802BR5907TIM S A6009SAO PAULO62290525R3600005477604017041014446304BC40</t>
  </si>
  <si>
    <t>00020126740014br.gov.bcb.pix013686b26441-94eb-4523-9e8a-79120d007b940212000058185482520400005303986540520.885802BR5907TIM S A6009SAO PAULO62290525R05000058185482170414551963049ED3</t>
  </si>
  <si>
    <t>00020126740014br.gov.bcb.pix013686b26441-94eb-4523-9e8a-79120d007b940212000058182116520400005303986540541.425802BR5907TIM S A6009SAO PAULO62290525R0500005818211617041214306304A911</t>
  </si>
  <si>
    <t>040.209.652-50</t>
  </si>
  <si>
    <t>1.351203604</t>
  </si>
  <si>
    <t>00020126740014br.gov.bcb.pix013686b26441-94eb-4523-9e8a-79120d007b940212000058188765520400005303986540528.865802BR5907TIM S A6009SAO PAULO62290525R05000058188765170417090163043762</t>
  </si>
  <si>
    <t>00020126740014br.gov.bcb.pix013686b26441-94eb-4523-9e8a-79120d007b940212000058238449520400005303986540538.625802BR5907TIM S A6009SAO PAULO62290525R05000058238449220412241463045FD8</t>
  </si>
  <si>
    <t>011.906.542-88</t>
  </si>
  <si>
    <t>1.350181565</t>
  </si>
  <si>
    <t>00020126740014br.gov.bcb.pix013686b26441-94eb-4523-9e8a-79120d007b940212000058241882520400005303986540522.725802BR5907TIM S A6009SAO PAULO62290525R05000058241882220414243363046F42</t>
  </si>
  <si>
    <t>624.116.162-87</t>
  </si>
  <si>
    <t>1.349336154</t>
  </si>
  <si>
    <t>00020126740014br.gov.bcb.pix013686b26441-94eb-4523-9e8a-79120d007b940212000054776312520400005303986540548.025802BR5907TIM S A6009SAO PAULO62290525R36000054776312170416404263043058</t>
  </si>
  <si>
    <t>475.600.102-53</t>
  </si>
  <si>
    <t>1.349793901</t>
  </si>
  <si>
    <t>00020126740014br.gov.bcb.pix013686b26441-94eb-4523-9e8a-79120d007b940212000058242862520400005303986540545.155802BR5907TIM S A6009SAO PAULO62290525R05000058242862220414592463045D54</t>
  </si>
  <si>
    <t>00020126740014br.gov.bcb.pix013686b26441-94eb-4523-9e8a-79120d007b940212000058245545520400005303986540537.155802BR5907TIM S A6009SAO PAULO62290525R050000582455452204162156630460A2</t>
  </si>
  <si>
    <t>701.162.002-86</t>
  </si>
  <si>
    <t>1.351782749</t>
  </si>
  <si>
    <t>00020126740014br.gov.bcb.pix013686b26441-94eb-4523-9e8a-79120d007b940212000058259508520400005303986540529.165802BR5907TIM S A6009SAO PAULO62290525R0500005825950823041016496304A98B</t>
  </si>
  <si>
    <t>587.510.842-87</t>
  </si>
  <si>
    <t>1.351456495</t>
  </si>
  <si>
    <t>00020126740014br.gov.bcb.pix013686b26441-94eb-4523-9e8a-79120d007b940212000058218799520400005303986540522.705802BR5907TIM S A6009SAO PAULO62290525R05000058218799200415123463046CED</t>
  </si>
  <si>
    <t>00020126740014br.gov.bcb.pix013686b26441-94eb-4523-9e8a-79120d007b940212000058265990520400005303986540530.715802BR5907TIM S A6009SAO PAULO62290525R0500005826599023041432396304F0B2</t>
  </si>
  <si>
    <t>00020126740014br.gov.bcb.pix013686b26441-94eb-4523-9e8a-79120d007b940212000058212392520400005303986540529.245802BR5907TIM S A6009SAO PAULO62290525R0500005821239220041046046304CDCC</t>
  </si>
  <si>
    <t>00020126740014br.gov.bcb.pix013686b26441-94eb-4523-9e8a-79120d007b940212000058212881520400005303986540544.715802BR5907TIM S A6009SAO PAULO62290525R050000582128812004110159630482F9</t>
  </si>
  <si>
    <t>00020126740014br.gov.bcb.pix013686b26441-94eb-4523-9e8a-79120d007b940212000054776883520400005303986540544.685802BR5907TIM S A6009SAO PAULO62290525R36000054776883200408355463048FBA</t>
  </si>
  <si>
    <t>00020126740014br.gov.bcb.pix013686b26441-94eb-4523-9e8a-79120d007b940212000054776908520400005303986540542.015802BR5907TIM S A6009SAO PAULO62290525R3600005477690820040902116304E2A2</t>
  </si>
  <si>
    <t>302.090.803-53</t>
  </si>
  <si>
    <t>1.352121964</t>
  </si>
  <si>
    <t>0014br.gov.bcb.pix013686b26441-94eb-4523-9e8a-79120d007b940212000058208357520400005303986540519.055802BR5907TIM S A6009SAO PAULO62290525R05000058208357200408235363043BE3 2026260512662</t>
  </si>
  <si>
    <t>747.871.526-53</t>
  </si>
  <si>
    <t>1.351209425</t>
  </si>
  <si>
    <t>00020126740014br.gov.bcb.pix013686b26441-94eb-4523-9e8a-79120d007b940212000058256735520400005303986540545.225802BR5907TIM S A6009SAO PAULO62290525R0500005825673523040844326304DFC7</t>
  </si>
  <si>
    <t>001.361.596-30</t>
  </si>
  <si>
    <t>1.350097425</t>
  </si>
  <si>
    <t>00020126740014br.gov.bcb.pix013686b26441-94eb-4523-9e8a-79120d007b940212000058248509520400005303986540520.905802BR5907TIM S A6009SAO PAULO62290525R05000058248509220417402363049AAD</t>
  </si>
  <si>
    <t>00020126740014br.gov.bcb.pix013686b26441-94eb-4523-9e8a-79120d007b940212000054778093520400005303986540518.715802BR5907TIM S A6009SAO PAULO62290525R360000547780932204173046630421A4</t>
  </si>
  <si>
    <t>065.706.696-64</t>
  </si>
  <si>
    <t>1.351797000</t>
  </si>
  <si>
    <t>00020126740014br.gov.bcb.pix013686b26441-94eb-4523-9e8a-79120d007b940212150019415927520400005303986540528.805802BR5907TIM S A6009SAO PAULO62290525R0515001941592724041311336304C40E</t>
  </si>
  <si>
    <t>130.653.026-16</t>
  </si>
  <si>
    <t>1.350505487</t>
  </si>
  <si>
    <t>00020126740014br.gov.bcb.pix013686b26441-94eb-4523-9e8a-79120d007b940212000058259792520400005303986540530.005802BR5907TIM S A6009SAO PAULO62290525R0500005825979223041025526304C6CC</t>
  </si>
  <si>
    <t>00020126740014br.gov.bcb.pix013686b26441-94eb-4523-9e8a-79120d007b940212000058246880520400005303986540567.235802BR5907TIM S A6009SAO PAULO62290525R05000058246880220416592563045612</t>
  </si>
  <si>
    <t>00020126740014br.gov.bcb.pix013686b26441-94eb-4523-9e8a-79120d007b940212000058245927520400005303986540513.695802BR5907TIM S A6009SAO PAULO62290525R050000582459272204163123630429C8</t>
  </si>
  <si>
    <t>00020126740014br.gov.bcb.pix013686b26441-94eb-4523-9e8a-79120d007b940212000058257234520400005303986540520.005802BR5907TIM S A6009SAO PAULO62290525R050000582572342304090211630487EC</t>
  </si>
  <si>
    <t>100.225.476-06</t>
  </si>
  <si>
    <t>1.350505391</t>
  </si>
  <si>
    <t>00020126740014br.gov.bcb.pix013686b26441-94eb-4523-9e8a-79120d007b940212000058283502520400005303986540540.005802BR5907TIM S A6009SAO PAULO62290525R0500005828350224041158226304D43A</t>
  </si>
  <si>
    <t>00020126740014br.gov.bcb.pix013686b26441-94eb-4523-9e8a-79120d007b940212000054778572520400005303986540555.005802BR5907TIM S A6009SAO PAULO62290525R36000054778572230414105663045EA4</t>
  </si>
  <si>
    <t>00020126740014br.gov.bcb.pix013686b26441-94eb-4523-9e8a-79120d007b940212000058278030520400005303986540537.365802BR5907TIM S A6009SAO PAULO62290525R0500005827803024040908206304F25C</t>
  </si>
  <si>
    <t>067.232.826-71</t>
  </si>
  <si>
    <t>1.349665306</t>
  </si>
  <si>
    <t>00020126740014br.gov.bcb.pix013686b26441-94eb-4523-9e8a-79120d007b940212000058264352520400005303986540534.265802BR5907TIM S A6009SAO PAULO62290525R05000058264352230413202663047043</t>
  </si>
  <si>
    <t>00020126740014br.gov.bcb.pix013686b26441-94eb-4523-9e8a-79120d007b940212000058262121520400005303986540546.165802BR5907TIM S A6009SAO PAULO62290525R05000058262121230411483463047B4E</t>
  </si>
  <si>
    <t>00020126740014br.gov.bcb.pix013686b26441-94eb-4523-9e8a-79120d007b940212000058262556520400005303986540548.925802BR5907TIM S A6009SAO PAULO62290525R05000058262556230412041863044713</t>
  </si>
  <si>
    <t>00020126740014br.gov.bcb.pix013686b26441-94eb-4523-9e8a-79120d007b940212000058340334520400005303986540530.005802BR5907TIM S A6009SAO PAULO62290525R05000058340334270410592063047414</t>
  </si>
  <si>
    <t>00020126740014br.gov.bcb.pix013686b26441-94eb-4523-9e8a-79120d007b940212000058284109520400005303986540543.505802BR5907TIM S A6009SAO PAULO62290525R0500005828410924041217026304AF55</t>
  </si>
  <si>
    <t>00020126740014br.gov.bcb.pix013686b26441-94eb-4523-9e8a-79120d007b940212000058262449520400005303986540541.495802BR5907TIM S A6009SAO PAULO62290525R0500005826244923041200356304F480</t>
  </si>
  <si>
    <t>00020126740014br.gov.bcb.pix013686b26441-94eb-4523-9e8a-79120d007b940212000054778584520400005303986540538.475802BR5907TIM S A6009SAO PAULO62290525R36000054778584230414373063040406</t>
  </si>
  <si>
    <t>00020126740014br.gov.bcb.pix013686b26441-94eb-4523-9e8a-79120d007b940212000058262566520400005303986540540.005802BR5907TIM S A6009SAO PAULO62290525R0500005826256623041204506304FA2C</t>
  </si>
  <si>
    <t>073.730.917-25</t>
  </si>
  <si>
    <t>1.353047828</t>
  </si>
  <si>
    <t>155.163.026-50</t>
  </si>
  <si>
    <t>1.351589661</t>
  </si>
  <si>
    <t>00020126740014br.gov.bcb.pix013686b26441-94eb-4523-9e8a-79120d007b940212000058265210520400005303986540545.385802BR5907TIM S A6009SAO PAULO62290525R05000058265210230413572063049999</t>
  </si>
  <si>
    <t>00020126740014br.gov.bcb.pix013686b26441-94eb-4523-9e8a-79120d007b940212000054779772520400005303986540529.145802BR5907TIM S A6009SAO PAULO62290525R3600005477977227040824276304537D</t>
  </si>
  <si>
    <t>00020126740014br.gov.bcb.pix013686b26441-94eb-4523-9e8a-79120d007b940212000054778592520400005303986540543.925802BR5907TIM S A6009SAO PAULO62290525R36000054778592230414492963042981</t>
  </si>
  <si>
    <t>00020126740014br.gov.bcb.pix013686b26441-94eb-4523-9e8a-79120d007b940212000054778949520400005303986540550.005802BR5907TIM S A6009SAO PAULO62290525R36000054778949240410423563040F6E</t>
  </si>
  <si>
    <t>00020126740014br.gov.bcb.pix013686b26441-94eb-4523-9e8a-79120d007b940212000054778601520400005303986540563.675802BR5907TIM S A6009SAO PAULO62290525R360000547786012304150417630468CB</t>
  </si>
  <si>
    <t>00020126740014br.gov.bcb.pix013686b26441-94eb-4523-9e8a-79120d007b940212000054778669520400005303986540539.335802BR5907TIM S A6009SAO PAULO62290525R360000547786692304164540630400FC</t>
  </si>
  <si>
    <t>00020126740014br.gov.bcb.pix013686b26441-94eb-4523-9e8a-79120d007b940212000054777991520400005303986540546.595802BR5907TIM S A6009SAO PAULO62290525R3600005477799122041518386304DDDA</t>
  </si>
  <si>
    <t>884.042.856-91</t>
  </si>
  <si>
    <t>1.350126501</t>
  </si>
  <si>
    <t>00020126740014br.gov.bcb.pix013686b26441-94eb-4523-9e8a-79120d007b940212000058259304520400005303986540527.235802BR5907TIM S A6009SAO PAULO62290525R050000582593042304101139630422E6</t>
  </si>
  <si>
    <t>00020126740014br.gov.bcb.pix013686b26441-94eb-4523-9e8a-79120d007b940212000058269799520400005303986540520.005802BR5907TIM S A6009SAO PAULO62290525R0500005826979923041646326304432D</t>
  </si>
  <si>
    <t>029.527.156-61</t>
  </si>
  <si>
    <t>1.353045738</t>
  </si>
  <si>
    <t>00020126740014br.gov.bcb.pix013686b26441-94eb-4523-9e8a-79120d007b940212000054779184520400005303986540534.455802BR5907TIM S A6009SAO PAULO62290525R36000054779184240415021463047E99</t>
  </si>
  <si>
    <t>00020126740014br.gov.bcb.pix013686b26441-94eb-4523-9e8a-79120d007b940212000054778625520400005303986540527.545802BR5907TIM S A6009SAO PAULO62290525R3600005477862523041552166304807D</t>
  </si>
  <si>
    <t>081.098.057-60</t>
  </si>
  <si>
    <t>1.349520022</t>
  </si>
  <si>
    <t>00020126740014br.gov.bcb.pix013686b26441-94eb-4523-9e8a-79120d007b940212000058280158520400005303986540521.155802BR5907TIM S A6009SAO PAULO62290525R0500005828015824041012046304D5F9</t>
  </si>
  <si>
    <t>00020126740014br.gov.bcb.pix013686b26441-94eb-4523-9e8a-79120d007b940212000054779080520400005303986540543.805802BR5907TIM S A6009SAO PAULO62290525R3600005477908024041253436304BF05</t>
  </si>
  <si>
    <t>019.459.768-70</t>
  </si>
  <si>
    <t>1.352589152</t>
  </si>
  <si>
    <t>00020126740014br.gov.bcb.pix013686b26441-94eb-4523-9e8a-79120d007b940212000058338300520400005303986540527.915802BR5907TIM S A6009SAO PAULO62290525R05000058338300270409583263043124</t>
  </si>
  <si>
    <t>00020126740014br.gov.bcb.pix013686b26441-94eb-4523-9e8a-79120d007b940212000054778904520400005303986540554.315802BR5907TIM S A6009SAO PAULO62290525R3600005477890424041002046304D52E</t>
  </si>
  <si>
    <t>00020126740014br.gov.bcb.pix013686b26441-94eb-4523-9e8a-79120d007b940212000054778703520400005303986540558.885802BR5907TIM S A6009SAO PAULO62290525R3600005477870323041753316304D028</t>
  </si>
  <si>
    <t>00020126740014br.gov.bcb.pix013686b26441-94eb-4523-9e8a-79120d007b940212000054778870520400005303986540540.525802BR5907TIM S A6009SAO PAULO62290525R36000054778870240409270163047F7E</t>
  </si>
  <si>
    <t>00020126740014br.gov.bcb.pix013686b26441-94eb-4523-9e8a-79120d007b940212020021309538520400005303986540518.985802BR5907TIM S A6009SAO PAULO62290525R0502002130953824041139066304569E</t>
  </si>
  <si>
    <t>00020126740014br.gov.bcb.pix013686b26441-94eb-4523-9e8a-79120d007b940212000054778960520400005303986540538.205802BR5907TIM S A6009SAO PAULO62290525R36000054778960240410520063048CA7</t>
  </si>
  <si>
    <t>00020126740014br.gov.bcb.pix013686b26441-94eb-4523-9e8a-79120d007b940212000054778975520400005303986540532.905802BR5907TIM S A6009SAO PAULO62290525R3600005477897524041107066304D803</t>
  </si>
  <si>
    <t>00020126740014br.gov.bcb.pix013686b26441-94eb-4523-9e8a-79120d007b940212000058281605520400005303986540535.005802BR5907TIM S A6009SAO PAULO62290525R05000058281605240410551663043BEC</t>
  </si>
  <si>
    <t>00020126740014br.gov.bcb.pix013686b26441-94eb-4523-9e8a-79120d007b940212000058281874520400005303986540546.955802BR5907TIM S A6009SAO PAULO62290525R05000058281874240411041563044E32</t>
  </si>
  <si>
    <t>00020126740014br.gov.bcb.pix013686b26441-94eb-4523-9e8a-79120d007b940212000054778846520400005303986540528.765802BR5907TIM S A6009SAO PAULO62290525R36000054778846240409004863040B1D</t>
  </si>
  <si>
    <t>019.448.836-57</t>
  </si>
  <si>
    <t>1.351807556</t>
  </si>
  <si>
    <t>00020126740014br.gov.bcb.pix013686b26441-94eb-4523-9e8a-79120d007b940212000058282679520400005303986540522.005802BR5907TIM S A6009SAO PAULO62290525R0500005828267924041129136304CB91</t>
  </si>
  <si>
    <t>00020126740014br.gov.bcb.pix013686b26441-94eb-4523-9e8a-79120d007b940212000054779970520400005303986540545.215802BR5907TIM S A6009SAO PAULO62290525R36000054779970270411454863043816</t>
  </si>
  <si>
    <t>029.325.454-00</t>
  </si>
  <si>
    <t>1.349505450</t>
  </si>
  <si>
    <t>140.921.074-04</t>
  </si>
  <si>
    <t>1.349313288</t>
  </si>
  <si>
    <t>00020126740014br.gov.bcb.pix013686b26441-94eb-4523-9e8a-79120d007b940212000054779012520400005303986540533.295802BR5907TIM S A6009SAO PAULO62290525R36000054779012240411492663049A54</t>
  </si>
  <si>
    <t>134.536.674-41</t>
  </si>
  <si>
    <t>1.352229221</t>
  </si>
  <si>
    <t>669.381.474-34</t>
  </si>
  <si>
    <t>1.353032501</t>
  </si>
  <si>
    <t>00020126740014br.gov.bcb.pix013686b26441-94eb-4523-9e8a-79120d007b940212000054777984520400005303986540523.975802BR5907TIM S A6009SAO PAULO62290525R3600005477798422041508446304B554</t>
  </si>
  <si>
    <t>00020126740014br.gov.bcb.pix013686b26441-94eb-4523-9e8a-79120d007b940212000058340077520400005303986540513.585802BR5907TIM S A6009SAO PAULO62290525R050000583400772704111335630406FE</t>
  </si>
  <si>
    <t>00020126740014br.gov.bcb.pix013686b26441-94eb-4523-9e8a-79120d007b940212000054778025520400005303986540543.335802BR5907TIM S A6009SAO PAULO62290525R360000547780252204160122630446B1</t>
  </si>
  <si>
    <t>00020126740014br.gov.bcb.pix013686b26441-94eb-4523-9e8a-79120d007b940212000058241751520400005303986540537.775802BR5907TIM S A6009SAO PAULO62290525R050000582417512204142708630472F3</t>
  </si>
  <si>
    <t>792.211.303-04</t>
  </si>
  <si>
    <t>1.352950566</t>
  </si>
  <si>
    <t>00020126740014br.gov.bcb.pix013686b26441-94eb-4523-9e8a-79120d007b940212000058261099520400005303986540542.295802BR5907TIM S A6009SAO PAULO62290525R05000058261099230411114363049478</t>
  </si>
  <si>
    <t>00020126740014br.gov.bcb.pix013686b26441-94eb-4523-9e8a-79120d007b940212000054778302520400005303986540548.345802BR5907TIM S A6009SAO PAULO62290525R3600005477830223040918296304AC6B</t>
  </si>
  <si>
    <t>080.628.853-13</t>
  </si>
  <si>
    <t>1.350026884</t>
  </si>
  <si>
    <t>00020126740014br.gov.bcb.pix013686b26441-94eb-4523-9e8a-79120d007b940212000058340715520400005303986540535.005802BR5907TIM S A6009SAO PAULO62290525R05000058340715270411095463040ADF</t>
  </si>
  <si>
    <t>00020126740014br.gov.bcb.pix013686b26441-94eb-4523-9e8a-79120d007b940212000058286489520400005303986540533.225802BR5907TIM S A6009SAO PAULO62290525R05000058286489240414092263040D6D</t>
  </si>
  <si>
    <t>00020126740014br.gov.bcb.pix013686b26441-94eb-4523-9e8a-79120d007b940212000058286182520400005303986540531.045802BR5907TIM S A6009SAO PAULO62290525R050000582861822404135921630472E0</t>
  </si>
  <si>
    <t>00020126740014br.gov.bcb.pix013686b26441-94eb-4523-9e8a-79120d007b940212000054779130520400005303986540536.425802BR5907TIM S A6009SAO PAULO62290525R3600005477913024041353176304B1DA</t>
  </si>
  <si>
    <t>658.548.962-49</t>
  </si>
  <si>
    <t>1.349424120</t>
  </si>
  <si>
    <t>00020126740014br.gov.bcb.pix013686b26441-94eb-4523-9e8a-79120d007b940212000054779114520400005303986540565.005802BR5907TIM S A6009SAO PAULO62290525R3600005477911424041337216304F82A</t>
  </si>
  <si>
    <t>005.683.792-50</t>
  </si>
  <si>
    <t>1.352494862</t>
  </si>
  <si>
    <t>00020126740014br.gov.bcb.pix013686b26441-94eb-4523-9e8a-79120d007b940212000058347608520400005303986540530.005802BR5907TIM S A6009SAO PAULO62290525R0500005834760827041526496304F430</t>
  </si>
  <si>
    <t>28495227000174</t>
  </si>
  <si>
    <t>7.2187117</t>
  </si>
  <si>
    <t>00020126740014br.gov.bcb.pix013686b26441-94eb-4523-9e8a-79120d007b9402120000581647315204000053039865406109.695802BR5907TIM S A6009SAO PAULO62290525R05000058164731160414344063042F8C</t>
  </si>
  <si>
    <t>13104449000141</t>
  </si>
  <si>
    <t>7.2176017</t>
  </si>
  <si>
    <t>00020126740014br.gov.bcb.pix013686b26441-94eb-4523-9e8a-79120d007b9402120000581652155204000053039865406125.415802BR5907TIM S A6009SAO PAULO62290525R05000058165215160414540963044B59</t>
  </si>
  <si>
    <t>00020126740014br.gov.bcb.pix013686b26441-94eb-4523-9e8a-79120d007b940212000054775801520400005303986540555.545802BR5907TIM S A6009SAO PAULO62290525R3600005477580116041707076304EFD9</t>
  </si>
  <si>
    <t>33411546000194</t>
  </si>
  <si>
    <t>7.2157170.10</t>
  </si>
  <si>
    <t>00020126740014br.gov.bcb.pix013686b26441-94eb-4523-9e8a-79120d007b9402120000547771545204000053039865406223.605802BR5907TIM S A6009SAO PAULO62290525R3600005477715420041334416304BE19</t>
  </si>
  <si>
    <t>43131476000174</t>
  </si>
  <si>
    <t>7.2123720</t>
  </si>
  <si>
    <t>00020126740014br.gov.bcb.pix013686b26441-94eb-4523-9e8a-79120d007b9402121400188894295204000053039865406335.385802BR5907TIM S A6009SAO PAULO62290525R0514001888942922041252316304AACE</t>
  </si>
  <si>
    <t>13245073000195</t>
  </si>
  <si>
    <t>7.2161818</t>
  </si>
  <si>
    <t>00020126740014br.gov.bcb.pix013686b26441-94eb-4523-9e8a-79120d007b940212000054777164520400005303986540581.515802BR5907TIM S A6009SAO PAULO62290525R360000547771642204081720630474A7</t>
  </si>
  <si>
    <t>00020126740014br.gov.bcb.pix013686b26441-94eb-4523-9e8a-79120d007b9402120000547771995204000053039865406287.205802BR5907TIM S A6009SAO PAULO62290525R36000054777199200414342563040319</t>
  </si>
  <si>
    <t>45393496000149</t>
  </si>
  <si>
    <t>7.2181585</t>
  </si>
  <si>
    <t>00020126740014br.gov.bcb.pix013686b26441-94eb-4523-9e8a-79120d007b940212000058220639520400005303986540540.865802BR5907TIM S A6009SAO PAULO62290525R05000058220639200416430963046370</t>
  </si>
  <si>
    <t>30284155000400</t>
  </si>
  <si>
    <t>7.2191940.10</t>
  </si>
  <si>
    <t>00020126740014br.gov.bcb.pix013686b26441-94eb-4523-9e8a-79120d007b940212000058234810520400005303986540544.345802BR5907TIM S A6009SAO PAULO62290525R0500005823481022041016536304EDC7</t>
  </si>
  <si>
    <t>57462447000108</t>
  </si>
  <si>
    <t>7.2191225.10</t>
  </si>
  <si>
    <t>00020126740014br.gov.bcb.pix013686b26441-94eb-4523-9e8a-79120d007b940212000058232670520400005303986540545.115802BR5907TIM S A6009SAO PAULO62290525R050000582326702204091128630414CB</t>
  </si>
  <si>
    <t>24995629000187</t>
  </si>
  <si>
    <t>7.2190387</t>
  </si>
  <si>
    <t>00020126740014br.gov.bcb.pix013686b26441-94eb-4523-9e8a-79120d007b940212000058237485520400005303986540512.665802BR5907TIM S A6009SAO PAULO62290525R05000058237485220411401163047390</t>
  </si>
  <si>
    <t>35551322000103</t>
  </si>
  <si>
    <t>7.2190576.10</t>
  </si>
  <si>
    <t>00020126740014br.gov.bcb.pix013686b26441-94eb-4523-9e8a-79120d007b940212000058220196520400005303986540547.565802BR5907TIM S A6009SAO PAULO62290525R0500005822019620041616526304E67A</t>
  </si>
  <si>
    <t>40800261000100</t>
  </si>
  <si>
    <t>7.1813231</t>
  </si>
  <si>
    <t>00020126740014br.gov.bcb.pix013686b26441-94eb-4523-9e8a-79120d007b9402120000547769125204000053039865406123.345802BR5907TIM S A6009SAO PAULO62290525R36000054776912200409081363042FA2</t>
  </si>
  <si>
    <t>51662341000163</t>
  </si>
  <si>
    <t>7.2172820</t>
  </si>
  <si>
    <t>37564025000128</t>
  </si>
  <si>
    <t>7.2187109.10</t>
  </si>
  <si>
    <t>00020126740014br.gov.bcb.pix013686b26441-94eb-4523-9e8a-79120d007b940212000058278797520400005303986540515.845802BR5907TIM S A6009SAO PAULO62290525R05000058278797240409300063049E24</t>
  </si>
  <si>
    <t>62342119000108</t>
  </si>
  <si>
    <t>7.2183657.10</t>
  </si>
  <si>
    <t>00020126740014br.gov.bcb.pix013686b26441-94eb-4523-9e8a-79120d007b940212000054778679520400005303986540530.645802BR5907TIM S A6009SAO PAULO62290525R3600005477867923041706486304970B</t>
  </si>
  <si>
    <t>05009726000109</t>
  </si>
  <si>
    <t>7.2160526</t>
  </si>
  <si>
    <t>00020126740014br.gov.bcb.pix013686b26441-94eb-4523-9e8a-79120d007b940212000058267337520400005303986540588.055802BR5907TIM S A6009SAO PAULO62290525R0500005826733723041524406304FB0A</t>
  </si>
  <si>
    <t>03886096000125</t>
  </si>
  <si>
    <t>7.2165136</t>
  </si>
  <si>
    <t>00020126740014br.gov.bcb.pix013686b26441-94eb-4523-9e8a-79120d007b940212000058359945520400005303986540565.595802BR5907TIM S A6009SAO PAULO62290525R0500005835994528041051096304012A</t>
  </si>
  <si>
    <t>01879131000153</t>
  </si>
  <si>
    <t>7.1963793</t>
  </si>
  <si>
    <t>00020126740014br.gov.bcb.pix013686b26441-94eb-4523-9e8a-79120d007b9402120000583580585204000053039865406773.345802BR5907TIM S A6009SAO PAULO62290525R050000583580582804093513630435A0</t>
  </si>
  <si>
    <t>00020126740014br.gov.bcb.pix013686b26441-94eb-4523-9e8a-79120d007b940212000058359379520400005303986540540.605802BR5907TIM S A6009SAO PAULO62290525R0500005835937928041028056304C572</t>
  </si>
  <si>
    <t>00020126740014br.gov.bcb.pix013686b26441-94eb-4523-9e8a-79120d007b940212000054780460520400005303986540528.545802BR5907TIM S A6009SAO PAULO62290525R36000054780460280411044563042D46</t>
  </si>
  <si>
    <t>00020126740014br.gov.bcb.pix013686b26441-94eb-4523-9e8a-79120d007b940212000058360685520400005303986540535.695802BR5907TIM S A6009SAO PAULO62290525R05000058360685280411205263042F97</t>
  </si>
  <si>
    <t>019.107.842-57</t>
  </si>
  <si>
    <t>1.351494378</t>
  </si>
  <si>
    <t>00020126740014br.gov.bcb.pix013686b26441-94eb-4523-9e8a-79120d007b940212000058360476520400005303986540545.085802BR5907TIM S A6009SAO PAULO62290525R050000583604762804111135630454DA</t>
  </si>
  <si>
    <t>00020126740014br.gov.bcb.pix013686b26441-94eb-4523-9e8a-79120d007b940212000058409463520400005303986540520.715802BR5907TIM S A6009SAO PAULO62290525R0500005840946330041645026304E766</t>
  </si>
  <si>
    <t>871.554.432-04</t>
  </si>
  <si>
    <t xml:space="preserve">ALICIA  </t>
  </si>
  <si>
    <t>00020126740014br.gov.bcb.pix013686b26441-94eb-4523-9e8a-79120d007b940212000054780433520400005303986540548.885802BR5907TIM S A6009SAO PAULO62290525R36000054780433280410360563046FF2</t>
  </si>
  <si>
    <t>037.734.505-91</t>
  </si>
  <si>
    <t>1.353329186</t>
  </si>
  <si>
    <t>00020126740014br.gov.bcb.pix013686b26441-94eb-4523-9e8a-79120d007b940212000058364513520400005303986540540.575802BR5907TIM S A6009SAO PAULO62290525R0500005836451328041412106304E387</t>
  </si>
  <si>
    <t>00020126740014br.gov.bcb.pix013686b26441-94eb-4523-9e8a-79120d007b940212000054780379520400005303986540546.155802BR5907TIM S A6009SAO PAULO62290525R3600005478037928040926076304CD98</t>
  </si>
  <si>
    <t>256.597.758-10</t>
  </si>
  <si>
    <t>1.353068139</t>
  </si>
  <si>
    <t>00020126740014br.gov.bcb.pix013686b26441-94eb-4523-9e8a-79120d007b940212020021337830520400005303986540530.005802BR5907TIM S A6009SAO PAULO62290525R0502002133783030041047476304F3C1</t>
  </si>
  <si>
    <t>00020126740014br.gov.bcb.pix013686b26441-94eb-4523-9e8a-79120d007b940212000058359520520400005303986540530.005802BR5907TIM S A6009SAO PAULO62290525R0500005835952028041033016304C783</t>
  </si>
  <si>
    <t>00020126740014br.gov.bcb.pix013686b26441-94eb-4523-9e8a-79120d007b940212000058366637520400005303986540554.555802BR5907TIM S A6009SAO PAULO62290525R05000058366637280415541663048BC0</t>
  </si>
  <si>
    <t>566.873.202-97</t>
  </si>
  <si>
    <t>1.351702329</t>
  </si>
  <si>
    <t>00020126740014br.gov.bcb.pix013686b26441-94eb-4523-9e8a-79120d007b940212000058381968520400005303986540526.315802BR5907TIM S A6009SAO PAULO62290525R0500005838196829041625066304DC74</t>
  </si>
  <si>
    <t>00020126740014br.gov.bcb.pix013686b26441-94eb-4523-9e8a-79120d007b940212000058365742520400005303986540540.835802BR5907TIM S A6009SAO PAULO62290525R050000583657422804151122630498EE</t>
  </si>
  <si>
    <t>00020126740014br.gov.bcb.pix013686b26441-94eb-4523-9e8a-79120d007b940212210017645879520400005303986540552.705802BR5907TIM S A6009SAO PAULO62290525R052100176458792804135902630486A4</t>
  </si>
  <si>
    <t>1.353454769</t>
  </si>
  <si>
    <t>00020126740014br.gov.bcb.pix013686b26441-94eb-4523-9e8a-79120d007b940212000058362197520400005303986540522.375802BR5907TIM S A6009SAO PAULO62290525R0500005836219728041220386304A8F3</t>
  </si>
  <si>
    <t>202.974.592-87</t>
  </si>
  <si>
    <t>1.350340909</t>
  </si>
  <si>
    <t>SHIRLEY</t>
  </si>
  <si>
    <t>00020126740014br.gov.bcb.pix013686b26441-94eb-4523-9e8a-79120d007b940212000058361948520400005303986540520.535802BR5907TIM S A6009SAO PAULO62290525R05000058361948280412120263042299</t>
  </si>
  <si>
    <t>476.592.702-49</t>
  </si>
  <si>
    <t>1.351464478</t>
  </si>
  <si>
    <t>00020126740014br.gov.bcb.pix013686b26441-94eb-4523-9e8a-79120d007b940212000058364960520400005303986540545.065802BR5907TIM S A6009SAO PAULO62290525R05000058364960280414375863041A4B</t>
  </si>
  <si>
    <t>291.554.602-91</t>
  </si>
  <si>
    <t>1.349907234</t>
  </si>
  <si>
    <t>00020126740014br.gov.bcb.pix013686b26441-94eb-4523-9e8a-79120d007b940212000058404998520400005303986540541.245802BR5907TIM S A6009SAO PAULO62290525R0500005840499830041446336304DC63</t>
  </si>
  <si>
    <t>00020126740014br.gov.bcb.pix013686b26441-94eb-4523-9e8a-79120d007b940212000054780680520400005303986540563.015802BR5907TIM S A6009SAO PAULO62290525R3600005478068028041649506304BD92</t>
  </si>
  <si>
    <t>913.429.452-04</t>
  </si>
  <si>
    <t>1.350183833</t>
  </si>
  <si>
    <t>00020126740014br.gov.bcb.pix013686b26441-94eb-4523-9e8a-79120d007b940212000058404616520400005303986540530.005802BR5907TIM S A6009SAO PAULO62290525R0500005840461630041431396304C991</t>
  </si>
  <si>
    <t>00020126740014br.gov.bcb.pix013686b26441-94eb-4523-9e8a-79120d007b940212000058383015520400005303986540567.395802BR5907TIM S A6009SAO PAULO62290525R0500005838301529041457346304FB83</t>
  </si>
  <si>
    <t>00020126740014br.gov.bcb.pix013686b26441-94eb-4523-9e8a-79120d007b940212000058367900520400005303986540553.285802BR5907TIM S A6009SAO PAULO62290525R050000583679002804164452630425DA</t>
  </si>
  <si>
    <t>00020126740014br.gov.bcb.pix013686b26441-94eb-4523-9e8a-79120d007b940212000058399670520400005303986540530.005802BR5907TIM S A6009SAO PAULO62290525R0500005839967030041131386304A0F3</t>
  </si>
  <si>
    <t>00020126740014br.gov.bcb.pix013686b26441-94eb-4523-9e8a-79120d007b940212000058395353520400005303986540540.585802BR5907TIM S A6009SAO PAULO62290525R05000058395353300409075863048BC0</t>
  </si>
  <si>
    <t>00020126740014br.gov.bcb.pix013686b26441-94eb-4523-9e8a-79120d007b940212000054780812520400005303986540537.035802BR5907TIM S A6009SAO PAULO62290525R36000054780812290408184963046C78</t>
  </si>
  <si>
    <t>00020126740014br.gov.bcb.pix013686b26441-94eb-4523-9e8a-79120d007b940212000054781124520400005303986540548.005802BR5907TIM S A6009SAO PAULO62290525R36000054781124290413545363045409</t>
  </si>
  <si>
    <t>00020126740014br.gov.bcb.pix013686b26441-94eb-4523-9e8a-79120d007b940212000058366862520400005303986540530.955802BR5907TIM S A6009SAO PAULO62290525R050000583668622804160327630456F1</t>
  </si>
  <si>
    <t>00020126740014br.gov.bcb.pix013686b26441-94eb-4523-9e8a-79120d007b940212000058398643520400005303986540540.965802BR5907TIM S A6009SAO PAULO62290525R05000058398643300410555863044BA7</t>
  </si>
  <si>
    <t>118.988.936-67</t>
  </si>
  <si>
    <t>1.353163587</t>
  </si>
  <si>
    <t>00020126740014br.gov.bcb.pix013686b26441-94eb-4523-9e8a-79120d007b940212000058400613520400005303986540540.325802BR5907TIM S A6009SAO PAULO62290525R05000058400613300411575463041C15</t>
  </si>
  <si>
    <t>054.913.356-90</t>
  </si>
  <si>
    <t>1.351859592</t>
  </si>
  <si>
    <t xml:space="preserve">TAINARA </t>
  </si>
  <si>
    <t>00020126740014br.gov.bcb.pix013686b26441-94eb-4523-9e8a-79120d007b940212000058400278520400005303986540530.005802BR5907TIM S A6009SAO PAULO62290525R05000058400278300412004063041E83</t>
  </si>
  <si>
    <t>279.504.766-72</t>
  </si>
  <si>
    <t>1.353131333</t>
  </si>
  <si>
    <t>00020126740014br.gov.bcb.pix013686b26441-94eb-4523-9e8a-79120d007b940212000058403227520400005303986540534.115802BR5907TIM S A6009SAO PAULO62290525R0500005840322730041336376304156A</t>
  </si>
  <si>
    <t>150.549.296-30</t>
  </si>
  <si>
    <t>1.352525344</t>
  </si>
  <si>
    <t>00020126740014br.gov.bcb.pix013686b26441-94eb-4523-9e8a-79120d007b940212000058396946520400005303986540548.665802BR5907TIM S A6009SAO PAULO62290525R0500005839694630040959036304828E</t>
  </si>
  <si>
    <t>00020126740014br.gov.bcb.pix013686b26441-94eb-4523-9e8a-79120d007b940212000054780694520400005303986540557.465802BR5907TIM S A6009SAO PAULO62290525R3600005478069428041724566304F140</t>
  </si>
  <si>
    <t>063.656.036-81</t>
  </si>
  <si>
    <t>1.350349345</t>
  </si>
  <si>
    <t>00020126740014br.gov.bcb.pix013686b26441-94eb-4523-9e8a-79120d007b940212000058397711520400005303986540520.485802BR5907TIM S A6009SAO PAULO62290525R0500005839771130041024576304C640</t>
  </si>
  <si>
    <t>122.556.054-30</t>
  </si>
  <si>
    <t>037.832.654-60</t>
  </si>
  <si>
    <t>1.352664157</t>
  </si>
  <si>
    <t>00020126740014br.gov.bcb.pix013686b26441-94eb-4523-9e8a-79120d007b940212000058408430520400005303986540519.545802BR5907TIM S A6009SAO PAULO62290525R0500005840843030041620176304430E</t>
  </si>
  <si>
    <t>00020126740014br.gov.bcb.pix013686b26441-94eb-4523-9e8a-79120d007b940212000058399901520400005303986540535.005802BR5907TIM S A6009SAO PAULO62290525R050000583999013004113342630435CA</t>
  </si>
  <si>
    <t>00020126740014br.gov.bcb.pix013686b26441-94eb-4523-9e8a-79120d007b940212000058401184520400005303986540548.025802BR5907TIM S A6009SAO PAULO62290525R050000584011843004121726630472AF</t>
  </si>
  <si>
    <t>00020126740014br.gov.bcb.pix013686b26441-94eb-4523-9e8a-79120d007b940212000058383880520400005303986540545.415802BR5907TIM S A6009SAO PAULO62290525R0500005838388029041537316304BE73</t>
  </si>
  <si>
    <t>273.083.162-20</t>
  </si>
  <si>
    <t>1.351838414</t>
  </si>
  <si>
    <t>00020126740014br.gov.bcb.pix013686b26441-94eb-4523-9e8a-79120d007b940212000058828668520400005303986540545.195802BR5907TIM S A6009SAO PAULO62290525R05000058828668250515332363046903</t>
  </si>
  <si>
    <t>914.001.712-53</t>
  </si>
  <si>
    <t>1.353448678</t>
  </si>
  <si>
    <t>00020126740014br.gov.bcb.pix013686b26441-94eb-4523-9e8a-79120d007b940212000058570927520400005303986540540.645802BR5907TIM S A6009SAO PAULO62290525R05000058570927130515081963048F7</t>
  </si>
  <si>
    <t>662.437.262-15</t>
  </si>
  <si>
    <t>1.352560859</t>
  </si>
  <si>
    <t>00020126740014br.gov.bcb.pix013686b26441-94eb-4523-9e8a-79120d007b940212020021345072520400005303986540538.285802BR5907TIM S A6009SAO PAULO62290525R05020021345072140514474363046BD7</t>
  </si>
  <si>
    <t>627.516.972-91</t>
  </si>
  <si>
    <t>1.351635736</t>
  </si>
  <si>
    <t>00020126740014br.gov.bcb.pix013686b26441-94eb-4523-9e8a-79120d007b940212000058547813520400005303986540521.735802BR5907TIM S A6009SAO PAULO62290525R0500005854781312051454196304E1F3</t>
  </si>
  <si>
    <t>736.319.302-91</t>
  </si>
  <si>
    <t>1.351311624</t>
  </si>
  <si>
    <t>00020126740014br.gov.bcb.pix013686b26441-94eb-4523-9e8a-79120d007b940212000058498065520400005303986540541.315802BR5907TIM S A6009SAO PAULO62290525R0500005849806508051334046304E967</t>
  </si>
  <si>
    <t>Raul</t>
  </si>
  <si>
    <t>00020126740014br.gov.bcb.pix013686b26441-94eb-4523-9e8a-79120d007b940212000054790680520400005303986540538.455802BR5907TIM S A6009SAO PAULO62290525R3600005479068019050955366304F682</t>
  </si>
  <si>
    <t>600.886.722-04</t>
  </si>
  <si>
    <t>1.351976192</t>
  </si>
  <si>
    <t>00020126740014br.gov.bcb.pix013686b26441-94eb-4523-9e8a-79120d007b940212000058567438520400005303986540553.175802BR5907TIM S A6009SAO PAULO62290525R050000585674381305133729630433D3</t>
  </si>
  <si>
    <t>00020126740014br.gov.bcb.pix013686b26441-94eb-4523-9e8a-79120d007b940212000058500584520400005303986540517.805802BR5907TIM S A6009SAO PAULO62290525R05000058500584080515550463046E0C</t>
  </si>
  <si>
    <t>00020126740014br.gov.bcb.pix013686b26441-94eb-4523-9e8a-79120d007b940212000058527306520400005303986540556.385802BR5907TIM S A6009SAO PAULO62290525R05000058527306110512063063047B42</t>
  </si>
  <si>
    <t>00020126740014br.gov.bcb.pix013686b26441-94eb-4523-9e8a-79120d007b940212000058498722520400005303986540522.045802BR5907TIM S A6009SAO PAULO62290525R0500005849872208051409306304A915</t>
  </si>
  <si>
    <t>00020126740014br.gov.bcb.pix013686b26441-94eb-4523-9e8a-79120d007b940212000054785688520400005303986540551.055802BR5907TIM S A6009SAO PAULO62290525R36000054785688080513070463048147</t>
  </si>
  <si>
    <t>838.915.602-49</t>
  </si>
  <si>
    <t>1.351917196</t>
  </si>
  <si>
    <t>00020126740014br.gov.bcb.pix013686b26441-94eb-4523-9e8a-79120d007b940212000058552508520400005303986540544.555802BR5907TIM S A6009SAO PAULO62290525R0500005855250812051647466304CF54</t>
  </si>
  <si>
    <t>889.557.882-15</t>
  </si>
  <si>
    <t>1.352748722</t>
  </si>
  <si>
    <t>00020126740014br.gov.bcb.pix013686b26441-94eb-4523-9e8a-79120d007b940212000058485166520400005303986540522.355802BR5907TIM S A6009SAO PAULO62290525R050000584851660705143206630455C2</t>
  </si>
  <si>
    <t>00020126740014br.gov.bcb.pix013686b26441-94eb-4523-9e8a-79120d007b9402120057281075585204000053039865406108.665802BR5907TIM S A6009SAO PAULO62290525R0800572810755808051413346304BEB3</t>
  </si>
  <si>
    <t>00020126740014br.gov.bcb.pix013686b26441-94eb-4523-9e8a-79120d007b940212005747267633520400005303986540599.995802BR5907TIM S A6009SAO PAULO62290525R1500574726763311051623586304B6F6</t>
  </si>
  <si>
    <t>383.818.502-15</t>
  </si>
  <si>
    <t>1.352789557</t>
  </si>
  <si>
    <t>00020126740014br.gov.bcb.pix013686b26441-94eb-4523-9e8a-79120d007b940212000058501794520400005303986540510.895802BR5907TIM S A6009SAO PAULO62290525R0500005850179408051643506304B0DA</t>
  </si>
  <si>
    <t>00020126740014br.gov.bcb.pix013686b26441-94eb-4523-9e8a-79120d007b940212000054785881520400005303986540535.345802BR5907TIM S A6009SAO PAULO62290525R360000547858810805161017630422F4</t>
  </si>
  <si>
    <t>00020126740014br.gov.bcb.pix013686b26441-94eb-4523-9e8a-79120d007b940212000058485308520400005303986540530.005802BR5907TIM S A6009SAO PAULO62290525R0500005848530807051435486304B8EB</t>
  </si>
  <si>
    <t>00020126740014br.gov.bcb.pix013686b26441-94eb-4523-9e8a-79120d007b940212000058493297520400005303986540520.005802BR5907TIM S A6009SAO PAULO62290525R05000058493297080509535063044291</t>
  </si>
  <si>
    <t xml:space="preserve"> 00020126740014br.gov.bcb.pix013686b26441-94eb-4523-9e8a-79120d007b940212000058494819520400005303986540533.895802BR5907TIM S A6009SAO PAULO62290525R0500005849481908051053546304A8A5</t>
  </si>
  <si>
    <t>00020126740014br.gov.bcb.pix013686b26441-94eb-4523-9e8a-79120d007b940212000054785676520400005303986540530.005802BR5907TIM S A6009SAO PAULO62290525R3600005478567608051210226304550B</t>
  </si>
  <si>
    <t>000.176.892-10</t>
  </si>
  <si>
    <t>1.353452388</t>
  </si>
  <si>
    <t>417.846.262-87</t>
  </si>
  <si>
    <t>1.353537365</t>
  </si>
  <si>
    <t>029.050.722-70</t>
  </si>
  <si>
    <t>1.352659149</t>
  </si>
  <si>
    <t>00020126740014br.gov.bcb.pix013686b26441-94eb-4523-9e8a-79120d007b940212000058667492520400005303986540526.565802BR5907TIM S A6009SAO PAULO62290525R05000058667492150513424163048E65</t>
  </si>
  <si>
    <t>00020126740014br.gov.bcb.pix013686b26441-94eb-4523-9e8a-79120d007b940212000054787633520400005303986540540.005802BR5907TIM S A6009SAO PAULO62290525R36000054787633120515304563042235</t>
  </si>
  <si>
    <t>00020126740014br.gov.bcb.pix013686b26441-94eb-4523-9e8a-79120d007b940212000054785939520400005303986540540.165802BR5907TIM S A6009SAO PAULO62290525R3600005478593908051741296304384B</t>
  </si>
  <si>
    <t>641.075.822-72</t>
  </si>
  <si>
    <t>1.350384841</t>
  </si>
  <si>
    <t>00020126740014br.gov.bcb.pix013686b26441-94eb-4523-9e8a-79120d007b940212000058531551520400005303986540520.525802BR5907TIM S A6009SAO PAULO62290525R05000058531551110515225663044887</t>
  </si>
  <si>
    <t>840.740.432-20</t>
  </si>
  <si>
    <t>1.351389540</t>
  </si>
  <si>
    <t>00020126740014br.gov.bcb.pix013686b26441-94eb-4523-9e8a-79120d007b940212000058661899520400005303986540530.005802BR5907TIM S A6009SAO PAULO62290525R0500005866189915050957576304CC4E</t>
  </si>
  <si>
    <t>00020126740014br.gov.bcb.pix013686b26441-94eb-4523-9e8a-79120d007b940212000058524228520400005303986540519.505802BR5907TIM S A6009SAO PAULO62290525R0500005852422811051019256304B71C</t>
  </si>
  <si>
    <t>00020126740014br.gov.bcb.pix013686b26441-94eb-4523-9e8a-79120d007b940212000058564822520400005303986540530.005802BR5907TIM S A6009SAO PAULO62290525R05000058564822130510221263041DC8</t>
  </si>
  <si>
    <t>00020126740014br.gov.bcb.pix013686b26441-94eb-4523-9e8a-79120d007b940212000054795243520400005303986540544.095802BR5907TIM S A6009SAO PAULO62290525R3600005479524328051124506304FF20</t>
  </si>
  <si>
    <t>224.409.842-72</t>
  </si>
  <si>
    <t>1.351518084</t>
  </si>
  <si>
    <t>00020126740014br.gov.bcb.pix013686b26441-94eb-4523-9e8a-79120d007b940212000058585962520400005303986540545.155802BR5907TIM S A6009SAO PAULO62290525R05000058585962140514140663043C49</t>
  </si>
  <si>
    <t>502.707.299-68</t>
  </si>
  <si>
    <t>1.353263061</t>
  </si>
  <si>
    <t>00020126740014br.gov.bcb.pix013686b26441-94eb-4523-9e8a-79120d007b940212000058583742520400005303986540515.005802BR5907TIM S A6009SAO PAULO62290525R05000058583742140510315363041D82</t>
  </si>
  <si>
    <t>1.353653207</t>
  </si>
  <si>
    <t>00020126740014br.gov.bcb.pix013686b26441-94eb-4523-9e8a-79120d007b940212000054786499520400005303986540530.005802BR5907TIM S A6009SAO PAULO62290525R3600005478649911050849196304EB5F</t>
  </si>
  <si>
    <t>795.972.702-34</t>
  </si>
  <si>
    <t>1.349907318</t>
  </si>
  <si>
    <t>00020126740014br.gov.bcb.pix013686b26441-94eb-4523-9e8a-79120d007b940212000058563591520400005303986540519.965802BR5907TIM S A6009SAO PAULO62290525R05000058563591130509533263044EF9</t>
  </si>
  <si>
    <t>00020126740014br.gov.bcb.pix013686b26441-94eb-4523-9e8a-79120d007b940212000054787498520400005303986540541.355802BR5907TIM S A6009SAO PAULO62290525R36000054787498120513112663044A17</t>
  </si>
  <si>
    <t>274.187.072-15</t>
  </si>
  <si>
    <t>1.353347437</t>
  </si>
  <si>
    <t>Mika</t>
  </si>
  <si>
    <t>00020126740014br.gov.bcb.pix013686b26441-94eb-4523-9e8a-79120d007b94021200005873977552040000530398654045.715802BR5907TIM S A6009SAO PAULO62290525R05000058739775200515453263044CD9</t>
  </si>
  <si>
    <t>187.120.452-68</t>
  </si>
  <si>
    <t>1.353645022</t>
  </si>
  <si>
    <t>048.218.342-00</t>
  </si>
  <si>
    <t>1.351227735</t>
  </si>
  <si>
    <t>00020126740014br.gov.bcb.pix013686b26441-94eb-4523-9e8a-79120d007b940212000058574799520400005303986540540.615802BR5907TIM S A6009SAO PAULO62290525R05000058574799130516574963048AEB</t>
  </si>
  <si>
    <t>856.954.752-87</t>
  </si>
  <si>
    <t>1.353664900</t>
  </si>
  <si>
    <t>00020126740014br.gov.bcb.pix013686b26441-94eb-4523-9e8a-79120d007b940212000054788346520400005303986540540.845802BR5907TIM S A6009SAO PAULO62290525R36000054788346130515335463046A9D</t>
  </si>
  <si>
    <t>00020126740014br.gov.bcb.pix013686b26441-94eb-4523-9e8a-79120d007b940212000054791492520400005303986540533.835802BR5907TIM S A6009SAO PAULO62290525R3600005479149220051416286304570D</t>
  </si>
  <si>
    <t>007.764.172-82</t>
  </si>
  <si>
    <t>1.351236157</t>
  </si>
  <si>
    <t>MIKA</t>
  </si>
  <si>
    <t>00020126740014br.gov.bcb.pix013686b26441-94eb-4523-9e8a-79120d007b940212000058735261520400005303986540521.015802BR5907TIM S A6009SAO PAULO62290525R05000058735261200511113263048106</t>
  </si>
  <si>
    <t>kaline</t>
  </si>
  <si>
    <t>00020126740014br.gov.bcb.pix013686b26441-94eb-4523-9e8a-79120d007b940212000054791986520400005303986540535.595802BR5907TIM S A6009SAO PAULO62290525R36000054791986210511593363047B08</t>
  </si>
  <si>
    <t>757.204.262-72</t>
  </si>
  <si>
    <t>1.350689692</t>
  </si>
  <si>
    <t>00020126740014br.gov.bcb.pix013686b26441-94eb-4523-9e8a-79120d007b940212000058735549520400005303986540545.245802BR5907TIM S A6009SAO PAULO62290525R0500005873554920051338416304686F</t>
  </si>
  <si>
    <t>00020126740014br.gov.bcb.pix013686b26441-94eb-4523-9e8a-79120d007b940212000058740675520400005303986540537.575802BR5907TIM S A6009SAO PAULO62290525R05000058740675200515271663041D03</t>
  </si>
  <si>
    <t>708.815.535-49</t>
  </si>
  <si>
    <t>1.353646391</t>
  </si>
  <si>
    <t>00020126740014br.gov.bcb.pix013686b26441-94eb-4523-9e8a-79120d007b940212000058829707520400005303986540545.575802BR5907TIM S A6009SAO PAULO62290525R0500005882970725051605436304CF06</t>
  </si>
  <si>
    <t>377.022.115-04</t>
  </si>
  <si>
    <t>1.353618229</t>
  </si>
  <si>
    <t>00020126740014br.gov.bcb.pix013686b26441-94eb-4523-9e8a-79120d007b940212000058743559520400005303986540541.135802BR5907TIM S A6009SAO PAULO62290525R0500005874355920051758256304384E</t>
  </si>
  <si>
    <t>023.067.165-95</t>
  </si>
  <si>
    <t>1.351222207</t>
  </si>
  <si>
    <t>00020126740014br.gov.bcb.pix013686b26441-94eb-4523-9e8a-79120d007b940212000054792089520400005303986540540.315802BR5907TIM S A6009SAO PAULO62290525R3600005479208921051323216304DF84</t>
  </si>
  <si>
    <t>864.197.665-59</t>
  </si>
  <si>
    <t>1.350386947</t>
  </si>
  <si>
    <t>00020126740014br.gov.bcb.pix013686b26441-94eb-4523-9e8a-79120d007b940212000058741849520400005303986540527.145802BR5907TIM S A6009SAO PAULO62290525R0500005874184920051626356304BF62</t>
  </si>
  <si>
    <t>00020126740014br.gov.bcb.pix013686b26441-94eb-4523-9e8a-79120d007b940212000054791608520400005303986540548.065802BR5907TIM S A6009SAO PAULO62290525R36000054791608200516491863049BDC</t>
  </si>
  <si>
    <t>00020126740014br.gov.bcb.pix013686b26441-94eb-4523-9e8a-79120d007b940212000054791596520400005303986540542.555802BR5907TIM S A6009SAO PAULO62290525R3600005479159620051633046304ECF2</t>
  </si>
  <si>
    <t>244.492.103-87</t>
  </si>
  <si>
    <t>1.353545220</t>
  </si>
  <si>
    <t>00020126740014br.gov.bcb.pix013686b26441-94eb-4523-9e8a-79120d007b940212000058827405520400005303986540536.475802BR5907TIM S A6009SAO PAULO62290525R0500005882740525051454546304776A</t>
  </si>
  <si>
    <t>198.158.322-04</t>
  </si>
  <si>
    <t>1.353604009</t>
  </si>
  <si>
    <t>039.485.503-52</t>
  </si>
  <si>
    <t>1.353633019</t>
  </si>
  <si>
    <t>095.796.643-15</t>
  </si>
  <si>
    <t>1.353002842</t>
  </si>
  <si>
    <t>00020126740014br.gov.bcb.pix013686b26441-94eb-4523-9e8a-79120d007b940212000058913971520400005303986540532.065802BR5907TIM S A6009SAO PAULO62290525R05000058913971290511564063048C04</t>
  </si>
  <si>
    <t>08.027.648/0001-63</t>
  </si>
  <si>
    <t>1.351700976</t>
  </si>
  <si>
    <t>Alicia</t>
  </si>
  <si>
    <t>00020126740014br.gov.bcb.pix013686b26441-94eb-4523-9e8a-79120d007b940212000058755691520400005303986540559.335802BR5907TIM S A6009SAO PAULO62290525R05000058755691210511504163042077</t>
  </si>
  <si>
    <t>168.337.326-04</t>
  </si>
  <si>
    <t>1.351488124</t>
  </si>
  <si>
    <t>Marcela</t>
  </si>
  <si>
    <t>00020126740014br.gov.bcb.pix013686b26441-94eb-4523-9e8a-79120d007b940212000058750653520400005303986540530.005802BR5907TIM S A6009SAO PAULO62290525R0500005875065321050851066304E8CE</t>
  </si>
  <si>
    <t>Tainara</t>
  </si>
  <si>
    <t>00020126740014br.gov.bcb.pix013686b26441-94eb-4523-9e8a-79120d007b940212000058755076520400005303986540524.685802BR5907TIM S A6009SAO PAULO62290525R050000587550762105112740630401D7</t>
  </si>
  <si>
    <t>058.682.226-79</t>
  </si>
  <si>
    <t>1.350059962</t>
  </si>
  <si>
    <t>00020126740014br.gov.bcb.pix013686b26441-94eb-4523-9e8a-79120d007b940212000058753081520400005303986540521.155802BR5907TIM S A6009SAO PAULO62290525R05000058753081210510165063046F5F</t>
  </si>
  <si>
    <t>00020126740014br.gov.bcb.pix013686b26441-94eb-4523-9e8a-79120d007b940212000058822168520400005303986540545.045802BR5907TIM S A6009SAO PAULO62290525R0500005882216825051204306304A3D0</t>
  </si>
  <si>
    <t>00020126740014br.gov.bcb.pix013686b26441-94eb-4523-9e8a-79120d007b940212000054795129520400005303986540551.545802BR5907TIM S A6009SAO PAULO62290525R36000054795129280509503463042951</t>
  </si>
  <si>
    <t>00020126740014br.gov.bcb.pix013686b26441-94eb-4523-9e8a-79120d007b940212000058821991520400005303986540580.005802BR5907TIM S A6009SAO PAULO62290525R05000058821991250512002263044223</t>
  </si>
  <si>
    <t>950.868.466-68</t>
  </si>
  <si>
    <t>1.352803404</t>
  </si>
  <si>
    <t>00020126740014br.gov.bcb.pix013686b26441-94eb-4523-9e8a-79120d007b940212000058827635520400005303986540544.105802BR5907TIM S A6009SAO PAULO62290525R05000058827635250515025463046F72</t>
  </si>
  <si>
    <t>143.695.236-05</t>
  </si>
  <si>
    <t>1.350428533</t>
  </si>
  <si>
    <t>00020126740014br.gov.bcb.pix013686b26441-94eb-4523-9e8a-79120d007b940212000058777793520400005303986540520.965802BR5907TIM S A6009SAO PAULO62290525R0500005877779322051023526304F735</t>
  </si>
  <si>
    <t>00020126740014br.gov.bcb.pix013686b26441-94eb-4523-9e8a-79120d007b940212000058830700520400005303986540534.975802BR5907TIM S A6009SAO PAULO62290525R05000058830700250516373763046744</t>
  </si>
  <si>
    <t>00020126740014br.gov.bcb.pix013686b26441-94eb-4523-9e8a-79120d007b940212000058871860520400005303986540544.545802BR5907TIM S A6009SAO PAULO62290525R0500005887186027051332266304441A</t>
  </si>
  <si>
    <t>00020126740014br.gov.bcb.pix013686b26441-94eb-4523-9e8a-79120d007b940212000054793631520400005303986540541.205802BR5907TIM S A6009SAO PAULO62290525R36000054793631250517084963043AF4</t>
  </si>
  <si>
    <t>095.838.546-70</t>
  </si>
  <si>
    <t>1.351911843</t>
  </si>
  <si>
    <t>00020126740014br.gov.bcb.pix013686b26441-94eb-4523-9e8a-79120d007b940212000058842578520400005303986540522.925802BR5907TIM S A6009SAO PAULO62290525R0500005884257826050920366304FF33</t>
  </si>
  <si>
    <t>00020126740014br.gov.bcb.pix013686b26441-94eb-4523-9e8a-79120d007b940212000058585168520400005303986540520.625802BR5907TIM S A6009SAO PAULO62290525R05000058585168140511231063046579</t>
  </si>
  <si>
    <t>00020126740014br.gov.bcb.pix013686b26441-94eb-4523-9e8a-79120d007b940212000058573713520400005303986540512.375802BR5907TIM S A6009SAO PAULO62290525R0500005857371314051347316304342F</t>
  </si>
  <si>
    <t>120.043.776-40</t>
  </si>
  <si>
    <t>1.351924374</t>
  </si>
  <si>
    <t>00020126740014br.gov.bcb.pix013686b26441-94eb-4523-9e8a-79120d007b940212000058887085520400005303986540573.925802BR5907TIM S A6009SAO PAULO62290525R0500005888708528050900186304EC93</t>
  </si>
  <si>
    <t>00020126740014br.gov.bcb.pix013686b26441-94eb-4523-9e8a-79120d007b940212000054788780520400005303986540537.875802BR5907TIM S A6009SAO PAULO62290525R36000054788780140511535863040203</t>
  </si>
  <si>
    <t>621.801.771-00</t>
  </si>
  <si>
    <t>1.352943355</t>
  </si>
  <si>
    <t>00020126740014br.gov.bcb.pix013686b26441-94eb-4523-9e8a-79120d007b940212000058585146520400005303986540522.475802BR5907TIM S A6009SAO PAULO62290525R0500005858514614051121316304A7F4</t>
  </si>
  <si>
    <t>00020126740014br.gov.bcb.pix013686b26441-94eb-4523-9e8a-79120d007b940212000054788321520400005303986540524.345802BR5907TIM S A6009SAO PAULO62290525R3600005478832113051506156304B6CA</t>
  </si>
  <si>
    <t>00020126740014br.gov.bcb.pix013686b26441-94eb-4523-9e8a-79120d007b940212000058580628520400005303986540520.625802BR5907TIM S A6009SAO PAULO62290525R05000058580628140508370063044D8F</t>
  </si>
  <si>
    <t>00020126740014br.gov.bcb.pix013686b26441-94eb-4523-9e8a-79120d007b940212000054793339520400005303986540519.435802BR5907TIM S A6009SAO PAULO62290525R3600005479333925051032596304E70F</t>
  </si>
  <si>
    <t>001.957.446-08</t>
  </si>
  <si>
    <t>1.351872351</t>
  </si>
  <si>
    <t>PROTOCOLO: 2026351492594</t>
  </si>
  <si>
    <t>00020126740014br.gov.bcb.pix013686b26441-94eb-4523-9e8a-79120d007b940212000058665250520400005303986540514.595802BR5907TIM S A6009SAO PAULO62290525R0500005866525015051200466304BF74</t>
  </si>
  <si>
    <t>00020126740014br.gov.bcb.pix013686b26441-94eb-4523-9e8a-79120d007b940212000058694854520400005303986540522.685802BR5907TIM S A6009SAO PAULO62290525R05000058694854180509113963042128</t>
  </si>
  <si>
    <t>161.331.296-20</t>
  </si>
  <si>
    <t>1.353139818</t>
  </si>
  <si>
    <t>00020126740014br.gov.bcb.pix013686b26441-94eb-4523-9e8a-79120d007b940212000058671754520400005303986540531.655802BR5907TIM S A6009SAO PAULO62290525R0500005867175415051544296304B704</t>
  </si>
  <si>
    <t>072.693.816-58</t>
  </si>
  <si>
    <t>1.350633118</t>
  </si>
  <si>
    <t xml:space="preserve">00020126740014br.gov.bcb.pix013686b26441-94eb-4523-9e8a-79120d007b940212000058714382520400005303986540546.125802BR5907TIM S A6009SAO PAULO62290525R0500005871438219050829446304D416
</t>
  </si>
  <si>
    <t>103.893.036-74</t>
  </si>
  <si>
    <t>1.350363185</t>
  </si>
  <si>
    <t>00020126740014br.gov.bcb.pix013686b26441-94eb-4523-9e8a-79120d007b940212000058698246520400005303986540530.005802BR5907TIM S A6009SAO PAULO62290525R050000586982461805110339630497FC</t>
  </si>
  <si>
    <t>029.959.356-80</t>
  </si>
  <si>
    <t>1.351308950</t>
  </si>
  <si>
    <t>00020126740014br.gov.bcb.pix013686b26441-94eb-4523-9e8a-79120d007b940212000058722181520400005303986540530.005802BR5907TIM S A6009SAO PAULO62290525R050000587221811905143526630412CD</t>
  </si>
  <si>
    <t>00020126740014br.gov.bcb.pix013686b26441-94eb-4523-9e8a-79120d007b940212000058722964520400005303986540525.005802BR5907TIM S A6009SAO PAULO62290525R05000058722964190514322663044132</t>
  </si>
  <si>
    <t>111.804.434-70</t>
  </si>
  <si>
    <t>1.353079008</t>
  </si>
  <si>
    <t>00020126740014br.gov.bcb.pix013686b26441-94eb-4523-9e8a-79120d007b940212000058818162520400005303986540538.015802BR5907TIM S A6009SAO PAULO62290525R0500005881816225051021586304A243</t>
  </si>
  <si>
    <t>081.126.834-92</t>
  </si>
  <si>
    <t>1.352071621</t>
  </si>
  <si>
    <t>00020126740014br.gov.bcb.pix013686b26441-94eb-4523-9e8a-79120d007b940212000058698467520400005303986540522.505802BR5907TIM S A6009SAO PAULO62290525R0500005869846718051110076304F1D2</t>
  </si>
  <si>
    <t>00020126740014br.gov.bcb.pix013686b26441-94eb-4523-9e8a-79120d007b940212000058708362520400005303986540545.215802BR5907TIM S A6009SAO PAULO62290525R05000058708362180517425263049C3E</t>
  </si>
  <si>
    <t>1.349801604</t>
  </si>
  <si>
    <t>00020126740014br.gov.bcb.pix013686b26441-94eb-4523-9e8a-79120d007b940212000058699264520400005303986540539.605802BR5907TIM S A6009SAO PAULO62290525R0500005869926418051137146304F7E3</t>
  </si>
  <si>
    <t>00020126740014br.gov.bcb.pix013686b26441-94eb-4523-9e8a-79120d007b940212000054790676520400005303986540520.045802BR5907TIM S A6009SAO PAULO62290525R360000547906761905095350630460ED</t>
  </si>
  <si>
    <t>1.353169757</t>
  </si>
  <si>
    <t>TAINA</t>
  </si>
  <si>
    <t xml:space="preserve">00020126740014br.gov.bcb.pix013686b26441-94eb-4523-9e8a-79120d007b940212000058699264520400005303986540539.605802BR5907TIM S A6009SAO PAULO62290525R0500005869926418051137146304F7E3
</t>
  </si>
  <si>
    <t>00020126740014br.gov.bcb.pix013686b26441-94eb-4523-9e8a-79120d007b940212000058719241520400005303986540542.035802BR5907TIM S A6009SAO PAULO62290525R050000587192411905113636630413C2</t>
  </si>
  <si>
    <t>00020126740014br.gov.bcb.pix013686b26441-94eb-4523-9e8a-79120d007b940212000058722929520400005303986540518.035802BR5907TIM S A6009SAO PAULO62290525R05000058722929190514495663048FBB</t>
  </si>
  <si>
    <t>00020126740014br.gov.bcb.pix013686b26441-94eb-4523-9e8a-79120d007b940212000058724392520400005303986540545.225802BR5907TIM S A6009SAO PAULO62290525R05000058724392190515401863042FEB</t>
  </si>
  <si>
    <t>046.653.186-97</t>
  </si>
  <si>
    <t>1.352516425</t>
  </si>
  <si>
    <t>00020126740014br.gov.bcb.pix013686b26441-94eb-4523-9e8a-79120d007b940212000058828977520400005303986540510.355802BR5907TIM S A6009SAO PAULO62290525R0500005882897725051542376304B5B8</t>
  </si>
  <si>
    <t>008.769.144-23</t>
  </si>
  <si>
    <t>1.353483298</t>
  </si>
  <si>
    <t>103.617.114-09</t>
  </si>
  <si>
    <t>1.353432139</t>
  </si>
  <si>
    <t>00020126740014br.gov.bcb.pix013686b26441-94eb-4523-9e8a-79120d007b94021200005479119752040000530398654048.075802BR5907TIM S A6009SAO PAULO62290525R36000054791197200508390063048F62</t>
  </si>
  <si>
    <t>00020126740014br.gov.bcb.pix013686b26441-94eb-4523-9e8a-79120d007b940212000058816262520400005303986540510.255802BR5907TIM S A6009SAO PAULO62290525R05000058816262250509355063045E9D</t>
  </si>
  <si>
    <t>073.873.904-95</t>
  </si>
  <si>
    <t>1.352654467</t>
  </si>
  <si>
    <t>00020126740014br.gov.bcb.pix013686b26441-94eb-4523-9e8a-79120d007b940212000058669908520400005303986540525.005802BR5907TIM S A6009SAO PAULO62290525R0500005866990815051443096304D8CF</t>
  </si>
  <si>
    <t>00020126740014br.gov.bcb.pix013686b26441-94eb-4523-9e8a-79120d007b940212000058821216520400005303986540530.005802BR5907TIM S A6009SAO PAULO62290525R05000058821216250511385363044485</t>
  </si>
  <si>
    <t>00020126740014br.gov.bcb.pix013686b26441-94eb-4523-9e8a-79120d007b940212000058829315520400005303986540520.005802BR5907TIM S A6009SAO PAULO62290525R0500005882931525051633516304AF38</t>
  </si>
  <si>
    <t>137.689.802-00</t>
  </si>
  <si>
    <t>1.351919307</t>
  </si>
  <si>
    <t>00020126740014br.gov.bcb.pix013686b26441-94eb-4523-9e8a-79120d007b940212000058818526520400005303986540520.035802BR5907TIM S A6009SAO PAULO62290525R0500005881852625051031446304E47C</t>
  </si>
  <si>
    <t>00020126740014br.gov.bcb.pix013686b26441-94eb-4523-9e8a-79120d007b940212000058788648520400005303986540519.845802BR5907TIM S A6009SAO PAULO62290525R05000058788648220516333663049F6D</t>
  </si>
  <si>
    <t>40239330000159</t>
  </si>
  <si>
    <t>7.2185967.10</t>
  </si>
  <si>
    <t>MAIO M9</t>
  </si>
  <si>
    <t>00020126740014br.gov.bcb.pix013686b26441-94eb-4523-9e8a-79120d007b940212000058493779520400005303986540526.465802BR5907TIM S A6009SAO PAULO62290525R0500005849377908051010516304B29E</t>
  </si>
  <si>
    <t>58577249000144</t>
  </si>
  <si>
    <t>7.2186683.10</t>
  </si>
  <si>
    <t>00020126740014br.gov.bcb.pix013686b26441-94eb-4523-9e8a-79120d007b940212000058494474520400005303986540533.805802BR5907TIM S A6009SAO PAULO62290525R050000584944740805104026630400D2</t>
  </si>
  <si>
    <t>27430854000164</t>
  </si>
  <si>
    <t>7.2185356.10</t>
  </si>
  <si>
    <t>00020126740014br.gov.bcb.pix013686b26441-94eb-4523-9e8a-79120d007b940212000058491171520400005303986540521.005802BR5907TIM S A6009SAO PAULO62290525R0500005849117108050826276304C382</t>
  </si>
  <si>
    <t>46306489000125</t>
  </si>
  <si>
    <t>7.2185469.10</t>
  </si>
  <si>
    <t>00020126740014br.gov.bcb.pix013686b26441-94eb-4523-9e8a-79120d007b940212000058492722520400005303986540513.235802BR5907TIM S A6009SAO PAULO62290525R0500005849272208050930156304FA02</t>
  </si>
  <si>
    <t>42379009000103</t>
  </si>
  <si>
    <t>7.2184769.10</t>
  </si>
  <si>
    <t>00020126740014br.gov.bcb.pix013686b26441-94eb-4523-9e8a-79120d007b940212000058493759520400005303986540521.135802BR5907TIM S A6009SAO PAULO62290525R05000058493759080510102163043A07</t>
  </si>
  <si>
    <t>10459202000150</t>
  </si>
  <si>
    <t>7.2099880</t>
  </si>
  <si>
    <t>00020126740014br.gov.bcb.pix013686b26441-94eb-4523-9e8a-79120d007b9402120000547856495204000053039865406218.525802BR5907TIM S A6009SAO PAULO62290525R360000547856490805113805630464DD</t>
  </si>
  <si>
    <t>00020126740014br.gov.bcb.pix013686b26441-94eb-4523-9e8a-79120d007b9402120000584950155204000053039865406596.495802BR5907TIM S A6009SAO PAULO62290525R0500005849501508051103456304E12E</t>
  </si>
  <si>
    <t>53838799000156</t>
  </si>
  <si>
    <t>7.2164523.10</t>
  </si>
  <si>
    <t>00020126740014br.gov.bcb.pix013686b26441-94eb-4523-9e8a-79120d007b940212000054785617520400005303986540556.115802BR5907TIM S A6009SAO PAULO62290525R360000547856170805111032630402EC</t>
  </si>
  <si>
    <t>00020126740014br.gov.bcb.pix013686b26441-94eb-4523-9e8a-79120d007b940212000058498674520400005303986540540.065802BR5907TIM S A6009SAO PAULO62290525R0500005849867408051406286304CBB8</t>
  </si>
  <si>
    <t>51693431000111</t>
  </si>
  <si>
    <t>7.2181315.10</t>
  </si>
  <si>
    <t>00020126740014br.gov.bcb.pix013686b26441-94eb-4523-9e8a-79120d007b9402120000584993125204000053039865406351.425802BR5907TIM S A6009SAO PAULO62290525R0500005849931208051442246304D286</t>
  </si>
  <si>
    <t>7.2191602.10</t>
  </si>
  <si>
    <t>00020126740014br.gov.bcb.pix013686b26441-94eb-4523-9e8a-79120d007b940212000058542063520400005303986540585.205802BR5907TIM S A6009SAO PAULO62290525R05000058542063120510470863040575</t>
  </si>
  <si>
    <t>05304917000101</t>
  </si>
  <si>
    <t>7.2187086</t>
  </si>
  <si>
    <t>00020126740014br.gov.bcb.pix013686b26441-94eb-4523-9e8a-79120d007b940212000058542686520400005303986540521.005802BR5907TIM S A6009SAO PAULO62290525R0500005854268612051117166304F7EF</t>
  </si>
  <si>
    <t>00020126740014br.gov.bcb.pix013686b26441-94eb-4523-9e8a-79120d007b940212000058498588520400005303986540531.315802BR5907TIM S A6009SAO PAULO62290525R050000584985880805140011630466A6</t>
  </si>
  <si>
    <t>13858800000190</t>
  </si>
  <si>
    <t>7.2185130</t>
  </si>
  <si>
    <t>00020126740014br.gov.bcb.pix013686b26441-94eb-4523-9e8a-79120d007b940212000058542474520400005303986540520.005802BR5907TIM S A6009SAO PAULO62290525R0500005854247412051105436304DF22</t>
  </si>
  <si>
    <t>41302178000174</t>
  </si>
  <si>
    <t>7.2185183.10</t>
  </si>
  <si>
    <t>00020126740014br.gov.bcb.pix013686b26441-94eb-4523-9e8a-79120d007b940212000058547503520400005303986540514.705802BR5907TIM S A6009SAO PAULO62290525R050000585475031205144248630429DC</t>
  </si>
  <si>
    <t>59120296000127</t>
  </si>
  <si>
    <t>00020126740014br.gov.bcb.pix013686b26441-94eb-4523-9e8a-79120d007b940212000058500014520400005303986540557.405802BR5907TIM S A6009SAO PAULO62290525R0500005850001408051519186304DDF0</t>
  </si>
  <si>
    <t>50985815000145</t>
  </si>
  <si>
    <t>7.2186918</t>
  </si>
  <si>
    <t>00020126740014br.gov.bcb.pix013686b26441-94eb-4523-9e8a-79120d007b940212000058541782520400005303986540515.595802BR5907TIM S A6009SAO PAULO62290525R0500005854178212051037006304F131</t>
  </si>
  <si>
    <t>33565093000150</t>
  </si>
  <si>
    <t>7.2185335</t>
  </si>
  <si>
    <t>00020126740014br.gov.bcb.pix013686b26441-94eb-4523-9e8a-79120d007b940212000058542404520400005303986540515.455802BR5907TIM S A6009SAO PAULO62290525R05000058542404120511020263049BBE</t>
  </si>
  <si>
    <t>00020126740014br.gov.bcb.pix013686b26441-94eb-4523-9e8a-79120d007b9402120000547866675204000053039865406243.275802BR5907TIM S A6009SAO PAULO62290525R360000547866671205084848630455BB</t>
  </si>
  <si>
    <t>41847681000105</t>
  </si>
  <si>
    <t xml:space="preserve">00020126740014br.gov.bcb.pix013686b26441-94eb-4523-9e8a-79120d007b940212000058546525520400005303986540511.965802BR5907TIM S A6009SAO PAULO62290525R0500005854652512051403046304585D </t>
  </si>
  <si>
    <t>51101703000147</t>
  </si>
  <si>
    <t>00020126740014br.gov.bcb.pix013686b26441-94eb-4523-9e8a-79120d007b940212000058544100520400005303986540515.675802BR5907TIM S A6009SAO PAULO62290525R05000058544100120512125963044606</t>
  </si>
  <si>
    <t>32284485000189</t>
  </si>
  <si>
    <t>00020126740014br.gov.bcb.pix013686b26441-94eb-4523-9e8a-79120d007b9402120000547859105204000053039865406333.765802BR5907TIM S A6009SAO PAULO62290525R360000547859100805165703630437AC</t>
  </si>
  <si>
    <t>44212608000155</t>
  </si>
  <si>
    <t>7.2184566.10</t>
  </si>
  <si>
    <t>00020126740014br.gov.bcb.pix013686b26441-94eb-4523-9e8a-79120d007b940212000058545691520400005303986540526.455802BR5907TIM S A6009SAO PAULO62290525R0500005854569112051329556304AA4C</t>
  </si>
  <si>
    <t>24666180000103</t>
  </si>
  <si>
    <t>7.2185632.10</t>
  </si>
  <si>
    <t>00020126740014br.gov.bcb.pix013686b26441-94eb-4523-9e8a-79120d007b94021200005854699352040000530398654045.495802BR5907TIM S A6009SAO PAULO62290525R0500005854699312051422286304A0B0</t>
  </si>
  <si>
    <t>00020126740014br.gov.bcb.pix013686b26441-94eb-4523-9e8a-79120d007b940212000058575711520400005303986540529.245802BR5907TIM S A6009SAO PAULO62290525R05000058575711130517532663047507</t>
  </si>
  <si>
    <t>08561461000145</t>
  </si>
  <si>
    <t>7.2190589</t>
  </si>
  <si>
    <t>00020126740014br.gov.bcb.pix013686b26441-94eb-4523-9e8a-79120d007b940212000058584159520400005303986540512.785802BR5907TIM S A6009SAO PAULO62290525R0500005858415914051045086304A1C2</t>
  </si>
  <si>
    <t>09300114000121</t>
  </si>
  <si>
    <t>7.2190271</t>
  </si>
  <si>
    <t>00020126740014br.gov.bcb.pix013686b26441-94eb-4523-9e8a-79120d007b940212000058588780520400005303986540515.725802BR5907TIM S A6009SAO PAULO62290525R05000058588780140513462063048B38</t>
  </si>
  <si>
    <t>00020126740014br.gov.bcb.pix013686b26441-94eb-4523-9e8a-79120d007b9402120000585645135204000053039865406121.615802BR5907TIM S A6009SAO PAULO62290525R05000058564513130510083963044F29</t>
  </si>
  <si>
    <t>00020126740014br.gov.bcb.pix013686b26441-94eb-4523-9e8a-79120d007b940212000058574830520400005303986540543.865802BR5907TIM S A6009SAO PAULO62290525R05000058574830130516595963042E0B</t>
  </si>
  <si>
    <t>04789708000124</t>
  </si>
  <si>
    <t>7.2187106</t>
  </si>
  <si>
    <t>00020126740014br.gov.bcb.pix013686b26441-94eb-4523-9e8a-79120d007b94021200005858307752040000530398654047.345802BR5907TIM S A6009SAO PAULO62290525R05000058583077140510090663041622</t>
  </si>
  <si>
    <t>27805865000181</t>
  </si>
  <si>
    <t>7.2185064</t>
  </si>
  <si>
    <t>31725868000182</t>
  </si>
  <si>
    <t>7.2185296</t>
  </si>
  <si>
    <t>00020126740014br.gov.bcb.pix013686b26441-94eb-4523-9e8a-79120d007b940212000058571574520400005303986540529.375802BR5907TIM S A6009SAO PAULO62290525R050000585715741305143443630442D2</t>
  </si>
  <si>
    <t>42038647000152</t>
  </si>
  <si>
    <t>7.2183807</t>
  </si>
  <si>
    <t>00020126740014br.gov.bcb.pix013686b26441-94eb-4523-9e8a-79120d007b940212000058570632520400005303986540522.025802BR5907TIM S A6009SAO PAULO62290525R0500005857063213051356426304FEF1</t>
  </si>
  <si>
    <t>18536527000109</t>
  </si>
  <si>
    <t>7.2183635</t>
  </si>
  <si>
    <t>19969622000150</t>
  </si>
  <si>
    <t>7.2183191</t>
  </si>
  <si>
    <t>00020126740014br.gov.bcb.pix013686b26441-94eb-4523-9e8a-79120d007b940212000058588054520400005303986540520.565802BR5907TIM S A6009SAO PAULO62290525R050000585880541405132154630446AD</t>
  </si>
  <si>
    <t>25124914000195</t>
  </si>
  <si>
    <t>7.2183903.10</t>
  </si>
  <si>
    <t>00020126740014br.gov.bcb.pix013686b26441-94eb-4523-9e8a-79120d007b940212000058581638520400005303986540513.815802BR5907TIM S A6009SAO PAULO62290525R05000058581638140509113863041027</t>
  </si>
  <si>
    <t>00020126740014br.gov.bcb.pix013686b26441-94eb-4523-9e8a-79120d007b940212020021344905520400005303986540529.635802BR5907TIM S A6009SAO PAULO62290525R0502002134490514051023196304646A</t>
  </si>
  <si>
    <t>00020126740014br.gov.bcb.pix013686b26441-94eb-4523-9e8a-79120d007b940212000058574997520400005303986540519.365802BR5907TIM S A6009SAO PAULO62290525R05000058574997130517071363049882</t>
  </si>
  <si>
    <t>00020126740014br.gov.bcb.pix013686b26441-94eb-4523-9e8a-79120d007b940212000058575730520400005303986540528.005802BR5907TIM S A6009SAO PAULO62290525R05000058575730130517553663045AF9</t>
  </si>
  <si>
    <t>14699987000199</t>
  </si>
  <si>
    <t>7.2175214</t>
  </si>
  <si>
    <t>00020126740014br.gov.bcb.pix013686b26441-94eb-4523-9e8a-79120d007b940212000058585208520400005303986540522.625802BR5907TIM S A6009SAO PAULO62290525R0500005858520814051124426304F939</t>
  </si>
  <si>
    <t>00020126740014br.gov.bcb.pix013686b26441-94eb-4523-9e8a-79120d007b940212000058566631520400005303986540559.295802BR5907TIM S A6009SAO PAULO62290525R0500005856663113051122526304072F</t>
  </si>
  <si>
    <t>00020126740014br.gov.bcb.pix013686b26441-94eb-4523-9e8a-79120d007b9402120000585724135204000053039865406470.135802BR5907TIM S A6009SAO PAULO62290525R0500005857241313051509596304827E</t>
  </si>
  <si>
    <t>00020126740014br.gov.bcb.pix013686b26441-94eb-4523-9e8a-79120d007b940212000058566915520400005303986540598.935802BR5907TIM S A6009SAO PAULO62290525R0500005856691513051133066304F5BC</t>
  </si>
  <si>
    <t>35105649000151</t>
  </si>
  <si>
    <t>7.2170886</t>
  </si>
  <si>
    <t>31111451000120</t>
  </si>
  <si>
    <t>7.2169352</t>
  </si>
  <si>
    <t>00020126740014br.gov.bcb.pix013686b26441-94eb-4523-9e8a-79120d007b940212000058589001520400005303986540520.765802BR5907TIM S A6009SAO PAULO62290525R05000058589001140513542163042327</t>
  </si>
  <si>
    <t>30908187000197</t>
  </si>
  <si>
    <t>7.2165472.10</t>
  </si>
  <si>
    <t>00020126740014br.gov.bcb.pix013686b26441-94eb-4523-9e8a-79120d007b940212000058567736520400005303986540522.195802BR5907TIM S A6009SAO PAULO62290525R05000058567736130512020163040E33</t>
  </si>
  <si>
    <t>00020126740014br.gov.bcb.pix013686b26441-94eb-4523-9e8a-79120d007b9402120000547884555204000053039865406103.315802BR5907TIM S A6009SAO PAULO62290525R36000054788455130517412563042B94</t>
  </si>
  <si>
    <t>28224200000147</t>
  </si>
  <si>
    <t>7.2163669</t>
  </si>
  <si>
    <t>00020126740014br.gov.bcb.pix013686b26441-94eb-4523-9e8a-79120d007b940212000058588702520400005303986540529.255802BR5907TIM S A6009SAO PAULO62290525R05000058588702140513442263041B3F</t>
  </si>
  <si>
    <t>46109923000187</t>
  </si>
  <si>
    <t>7.2164036</t>
  </si>
  <si>
    <t>00020126740014br.gov.bcb.pix013686b26441-94eb-4523-9e8a-79120d007b9402120000547879415204000053039865406693.125802BR5907TIM S A6009SAO PAULO62290525R36000054787941130508552963049FB4</t>
  </si>
  <si>
    <t>00020126740014br.gov.bcb.pix013686b26441-94eb-4523-9e8a-79120d007b94021200005478771552040000530398654071194.025802BR5907TIM S A6009SAO PAULO62290525R36000054787715120517102363040DE9</t>
  </si>
  <si>
    <t>45852725000146</t>
  </si>
  <si>
    <t>7.2189890</t>
  </si>
  <si>
    <t>00020126740014br.gov.bcb.pix013686b26441-94eb-4523-9e8a-79120d007b940212000058585627520400005303986540520.985802BR5907TIM S A6009SAO PAULO62290525R05000058585627140511371563049F92</t>
  </si>
  <si>
    <t>19707997000223</t>
  </si>
  <si>
    <t>7.1923447</t>
  </si>
  <si>
    <t>00020126740014br.gov.bcb.pix013686b26441-94eb-4523-9e8a-79120d007b940212000058761161520400005303986540558.535802BR5907TIM S A6009SAO PAULO62290525R050000587611612105154642630437FE</t>
  </si>
  <si>
    <t>00020126740014br.gov.bcb.pix013686b26441-94eb-4523-9e8a-79120d007b940212000058736615520400005303986540529.435802BR5907TIM S A6009SAO PAULO62290525R05000058736615200512113263047CD8</t>
  </si>
  <si>
    <t>43626899000165</t>
  </si>
  <si>
    <t>7.2185364.10</t>
  </si>
  <si>
    <t>00020126740014br.gov.bcb.pix013686b26441-94eb-4523-9e8a-79120d007b94021200005873835052040000530398654047.935802BR5907TIM S A6009SAO PAULO62290525R05000058738350200513345363048397</t>
  </si>
  <si>
    <t>00020126740014br.gov.bcb.pix013686b26441-94eb-4523-9e8a-79120d007b9402120000587326405204000053039865406269.685802BR5907TIM S A6009SAO PAULO62290525R0500005873264020050926096304ABBD</t>
  </si>
  <si>
    <t>00020126740014br.gov.bcb.pix013686b26441-94eb-4523-9e8a-79120d007b9402120000587341565204000053039865406110.415802BR5907TIM S A6009SAO PAULO62290525R05000058734156200510270663041115</t>
  </si>
  <si>
    <t>51807567000105</t>
  </si>
  <si>
    <t>7.2182888.10</t>
  </si>
  <si>
    <t>00020126740014br.gov.bcb.pix013686b26441-94eb-4523-9e8a-79120d007b940212000058724605520400005303986540588.895802BR5907TIM S A6009SAO PAULO62290525R05000058724605190515472163049090</t>
  </si>
  <si>
    <t>24382020000132</t>
  </si>
  <si>
    <t>7.2170733</t>
  </si>
  <si>
    <t>Kaline</t>
  </si>
  <si>
    <t>00020126740014br.gov.bcb.pix013686b26441-94eb-4523-9e8a-79120d007b940212000058743403520400005303986540510.225802BR5907TIM S A6009SAO PAULO62290525R0500005874340320051735356304D099</t>
  </si>
  <si>
    <t>01157928000147</t>
  </si>
  <si>
    <t>6.902987</t>
  </si>
  <si>
    <t>00020126740014br.gov.bcb.pix013686b26441-94eb-4523-9e8a-79120d007b940212000058749949520400005303986540513.445802BR5907TIM S A6009SAO PAULO62290525R0500005874994921050826226304B615</t>
  </si>
  <si>
    <t>00020126740014br.gov.bcb.pix013686b26441-94eb-4523-9e8a-79120d007b940212000058731217520400005303986540590.745802BR5907TIM S A6009SAO PAULO62290525R0500005873121720050825196304927D</t>
  </si>
  <si>
    <t>00020126740014br.gov.bcb.pix013686b26441-94eb-4523-9e8a-79120d007b940212000058734371520400005303986540587.885802BR5907TIM S A6009SAO PAULO62290525R0500005873437120051035166304A9CC</t>
  </si>
  <si>
    <t>00020126740014br.gov.bcb.pix013686b26441-94eb-4523-9e8a-79120d007b940212000058784153520400005303986540520.465802BR5907TIM S A6009SAO PAULO62290525R05000058784153220513591563047ABD</t>
  </si>
  <si>
    <t>47491663000110</t>
  </si>
  <si>
    <t>7.2191970.10</t>
  </si>
  <si>
    <t>00020126740014br.gov.bcb.pix013686b26441-94eb-4523-9e8a-79120d007b940212000058789609520400005303986540512.905802BR5907TIM S A6009SAO PAULO62290525R0500005878960922051700526304C1D6</t>
  </si>
  <si>
    <t>48154739000184</t>
  </si>
  <si>
    <t>7.2191922.10</t>
  </si>
  <si>
    <t>00020126740014br.gov.bcb.pix013686b26441-94eb-4523-9e8a-79120d007b940212000058764670520400005303986540543.225802BR5907TIM S A6009SAO PAULO62290525R0500005876467021051726486304E785</t>
  </si>
  <si>
    <t>50308437000165</t>
  </si>
  <si>
    <t>7.2191581.10</t>
  </si>
  <si>
    <t>00020126740014br.gov.bcb.pix013686b26441-94eb-4523-9e8a-79120d007b940212000054793448520400005303986540578.255802BR5907TIM S A6009SAO PAULO62290525R36000054793448250512333863043C5F</t>
  </si>
  <si>
    <t>57463881000102</t>
  </si>
  <si>
    <t>7.2191508.10</t>
  </si>
  <si>
    <t>00020126740014br.gov.bcb.pix013686b26441-94eb-4523-9e8a-79120d007b940212000058783454520400005303986540531.735802BR5907TIM S A6009SAO PAULO62290525R05000058783454220513355863048B19</t>
  </si>
  <si>
    <t>46484882000109</t>
  </si>
  <si>
    <t>7.2191721.10</t>
  </si>
  <si>
    <t>00020126740014br.gov.bcb.pix013686b26441-94eb-4523-9e8a-79120d007b940212000054792555520400005303986540576.645802BR5907TIM S A6009SAO PAULO62290525R36000054792555220511130363043768</t>
  </si>
  <si>
    <t>46386269000159</t>
  </si>
  <si>
    <t>7.2191496.10</t>
  </si>
  <si>
    <t>00020126740014br.gov.bcb.pix013686b26441-94eb-4523-9e8a-79120d007b940212000058779079520400005303986540550.005802BR5907TIM S A6009SAO PAULO62290525R05000058779079220511004863044FAC</t>
  </si>
  <si>
    <t>48291030000120</t>
  </si>
  <si>
    <t>7.2191679.10</t>
  </si>
  <si>
    <t>00020126740014br.gov.bcb.pix013686b26441-94eb-4523-9e8a-79120d007b940212000058779514520400005303986540533.085802BR5907TIM S A6009SAO PAULO62290525R05000058779514220511165663048A39</t>
  </si>
  <si>
    <t>54261510000141</t>
  </si>
  <si>
    <t>7.2191593.10</t>
  </si>
  <si>
    <t>00020126740014br.gov.bcb.pix013686b26441-94eb-4523-9e8a-79120d007b940212000058779627520400005303986540533.215802BR5907TIM S A6009SAO PAULO62290525R05000058779627220511202063047D20</t>
  </si>
  <si>
    <t>45890253000116</t>
  </si>
  <si>
    <t>7.2191374.10</t>
  </si>
  <si>
    <t>00020126740014br.gov.bcb.pix013686b26441-94eb-4523-9e8a-79120d007b940212000058779740520400005303986540515.425802BR5907TIM S A6009SAO PAULO62290525R050000587797402205112348630479A3</t>
  </si>
  <si>
    <t>49076648000130</t>
  </si>
  <si>
    <t>7.2191261.10</t>
  </si>
  <si>
    <t>00020126740014br.gov.bcb.pix013686b26441-94eb-4523-9e8a-79120d007b940212000058764799520400005303986540531.775802BR5907TIM S A6009SAO PAULO62290525R05000058764799210517301063046BDB</t>
  </si>
  <si>
    <t>15370176000102</t>
  </si>
  <si>
    <t>7.2190829.10</t>
  </si>
  <si>
    <t>00020126740014br.gov.bcb.pix013686b26441-94eb-4523-9e8a-79120d007b940212000058763428520400005303986540545.555802BR5907TIM S A6009SAO PAULO62290525R05000058763428210516483163040C63</t>
  </si>
  <si>
    <t>42495113000155</t>
  </si>
  <si>
    <t>7.2188689.10</t>
  </si>
  <si>
    <t>00020126740014br.gov.bcb.pix013686b26441-94eb-4523-9e8a-79120d007b940212000058765454520400005303986540522.975802BR5907TIM S A6009SAO PAULO62290525R0500005876545421051751046304A257</t>
  </si>
  <si>
    <t>37485994000193</t>
  </si>
  <si>
    <t>7.2188333.10</t>
  </si>
  <si>
    <t>00020126740014br.gov.bcb.pix013686b26441-94eb-4523-9e8a-79120d007b940212000058779824520400005303986540518.285802BR5907TIM S A6009SAO PAULO62290525R05000058779824220511272863047F6F</t>
  </si>
  <si>
    <t>00020126740014br.gov.bcb.pix013686b26441-94eb-4523-9e8a-79120d007b940212000058779881520400005303986540544.135802BR5907TIM S A6009SAO PAULO62290525R0500005877988122051129506304DC24</t>
  </si>
  <si>
    <t>00020126740014br.gov.bcb.pix013686b26441-94eb-4523-9e8a-79120d007b940212000054792579520400005303986540585.075802BR5907TIM S A6009SAO PAULO62290525R3600005479257922051136236304B579</t>
  </si>
  <si>
    <t>00020126740014br.gov.bcb.pix013686b26441-94eb-4523-9e8a-79120d007b940212020021406419520400005303986540553.855802BR5907TIM S A6009SAO PAULO62290525R0502002140641922051151246304C676</t>
  </si>
  <si>
    <t>12064579000135</t>
  </si>
  <si>
    <t>7.2168198.10</t>
  </si>
  <si>
    <t>00020126740014br.gov.bcb.pix013686b26441-94eb-4523-9e8a-79120d007b940212000058780249520400005303986540518.595802BR5907TIM S A6009SAO PAULO62290525R0500005878024922051143596304D05D</t>
  </si>
  <si>
    <t>54490968000172</t>
  </si>
  <si>
    <t>7.2170579.10</t>
  </si>
  <si>
    <t>:00020126740014br.gov.bcb.pix013686b26441-94eb-4523-9e8a-79120d007b940212000058781041520400005303986540542.545802BR5907TIM S A6009SAO PAULO62290525R0500005878104122051206566304C03C</t>
  </si>
  <si>
    <t>37485560000193</t>
  </si>
  <si>
    <t>7.2192966.10</t>
  </si>
  <si>
    <t>00020126740014br.gov.bcb.pix013686b26441-94eb-4523-9e8a-79120d007b940212000058822575520400005303986540526.045802BR5907TIM S A6009SAO PAULO62290525R05000058822575250512160763048B4B</t>
  </si>
  <si>
    <t>00020126740014br.gov.bcb.pix013686b26441-94eb-4523-9e8a-79120d007b940212000054793429520400005303986540515.615802BR5907TIM S A6009SAO PAULO62290525R36000054793429250512182763044F98</t>
  </si>
  <si>
    <t>00020126740014br.gov.bcb.pix013686b26441-94eb-4523-9e8a-79120d007b940212000054793432520400005303986540526.575802BR5907TIM S A6009SAO PAULO62290525R3600005479343225051220186304C70C</t>
  </si>
  <si>
    <t>56035295000196</t>
  </si>
  <si>
    <t>7.2184748.10</t>
  </si>
  <si>
    <t>00020126740014br.gov.bcb.pix013686b26441-94eb-4523-9e8a-79120d007b940212000054793434520400005303986540517.975802BR5907TIM S A6009SAO PAULO62290525R36000054793434250512220463041265</t>
  </si>
  <si>
    <t>00020126740014br.gov.bcb.pix013686b26441-94eb-4523-9e8a-79120d007b9402120000547934395204000053039865406148.435802BR5907TIM S A6009SAO PAULO62290525R36000054793439250512240163049629</t>
  </si>
  <si>
    <t>00020126740014br.gov.bcb.pix013686b26441-94eb-4523-9e8a-79120d007b940212000058822914520400005303986540526.595802BR5907TIM S A6009SAO PAULO62290525R0500005882291425051225356304D901</t>
  </si>
  <si>
    <t>37715184000186</t>
  </si>
  <si>
    <t>7.2172521.10</t>
  </si>
  <si>
    <t>00020126740014br.gov.bcb.pix013686b26441-94eb-4523-9e8a-79120d007b940212000054793442520400005303986540560.425802BR5907TIM S A6009SAO PAULO62290525R36000054793442250512273263047725</t>
  </si>
  <si>
    <t>00020126740014br.gov.bcb.pix013686b26441-94eb-4523-9e8a-79120d007b940212000058823059520400005303986540527.195802BR5907TIM S A6009SAO PAULO62290525R05000058823059250512285763044685</t>
  </si>
  <si>
    <t>00020126740014br.gov.bcb.pix013686b26441-94eb-4523-9e8a-79120d007b9402120000588231175204000053039865406901.545802BR5907TIM S A6009SAO PAULO62290525R0500005882311725051230386304E33A</t>
  </si>
  <si>
    <t>00020126740014br.gov.bcb.pix013686b26441-94eb-4523-9e8a-79120d007b940212000054793380520400005303986540578.255802BR5907TIM S A6009SAO PAULO62290525R3600005479338025051119496304C27B</t>
  </si>
  <si>
    <t>998.785.422-20</t>
  </si>
  <si>
    <t>1.353462518</t>
  </si>
  <si>
    <t xml:space="preserve">KALINE </t>
  </si>
  <si>
    <t xml:space="preserve"> 01/06/2026</t>
  </si>
  <si>
    <t>00020126740014br.gov.bcb.pix013686b26441-94eb-4523-9e8a-79120d007b940212000058900350520400005303986540538.165802BR5907TIM S A6009SAO PAULO62290525R0500005890035028051701586304D981</t>
  </si>
  <si>
    <t>00020126740014br.gov.bcb.pix013686b26441-94eb-4523-9e8a-79120d007b940212000058914100520400005303986540522.795802BR5907TIM S A6009SAO PAULO62290525R0500005891410029051200426304DAA5</t>
  </si>
  <si>
    <t>00020126740014br.gov.bcb.pix013686b26441-94eb-4523-9e8a-79120d007b940212000054795245520400005303986540545.085802BR5907TIM S A6009SAO PAULO62290525R36000054795245280511263463041DBC</t>
  </si>
  <si>
    <t>819.171.392-68</t>
  </si>
  <si>
    <t>1.351209786</t>
  </si>
  <si>
    <t>MYKAELLY  CANC..</t>
  </si>
  <si>
    <t>00020126740014br.gov.bcb.pix013686b26441-94eb-4523-9e8a-79120d007b940212000058853222520400005303986540541.375802BR5907TIM S A6009SAO PAULO62290525R050000588532222605154158630445E1</t>
  </si>
  <si>
    <t>291.089.002-30</t>
  </si>
  <si>
    <t>1.351552006</t>
  </si>
  <si>
    <t>00020126740014br.gov.bcb.pix013686b26441-94eb-4523-9e8a-79120d007b940212000058890993520400005303986540542.605802BR5907TIM S A6009SAO PAULO62290525R05000058890993280511150063044444</t>
  </si>
  <si>
    <t>HALE</t>
  </si>
  <si>
    <t>00020126740014br.gov.bcb.pix013686b26441-94eb-4523-9e8a-79120d007b940212000058845842520400005303986540561.035802BR5907TIM S A6009SAO PAULO62290525R05000058845842260510561863044B88</t>
  </si>
  <si>
    <t>mikaelly</t>
  </si>
  <si>
    <t>00020126740014br.gov.bcb.pix013686b26441-94eb-4523-9e8a-79120d007b940212000058866351520400005303986540535.725802BR5907TIM S A6009SAO PAULO62290525R05000058866351270510210363040A5A</t>
  </si>
  <si>
    <t>952.167.152-15</t>
  </si>
  <si>
    <t>1.353445948</t>
  </si>
  <si>
    <t>00020126740014br.gov.bcb.pix013686b26441-94eb-4523-9e8a-79120d007b94021200005887952552040000530398654049.605802BR5907TIM S A6009SAO PAULO62290525R050000588795252705172448630418F9</t>
  </si>
  <si>
    <t>00020126740014br.gov.bcb.pix013686b26441-94eb-4523-9e8a-79120d007b940212000054794601520400005303986540542.935802BR5907TIM S A6009SAO PAULO62290525R36000054794601270511254763040B73</t>
  </si>
  <si>
    <t>00020126740014br.gov.bcb.pix013686b26441-94eb-4523-9e8a-79120d007b940212000058846864520400005303986540532.995802BR5907TIM S A6009SAO PAULO62290525R05000058846864260511283363041D7A</t>
  </si>
  <si>
    <t>00020126740014br.gov.bcb.pix013686b26441-94eb-4523-9e8a-79120d007b940212000054794011520400005303986540529.305802BR5907TIM S A6009SAO PAULO62290525R3600005479401126051153366304857E</t>
  </si>
  <si>
    <t>028.674.390-60</t>
  </si>
  <si>
    <t>1.351506590</t>
  </si>
  <si>
    <t>00020126740014br.gov.bcb.pix013686b26441-94eb-4523-9e8a-79120d007b940212000058850195520400005303986540545.825802BR5907TIM S A6009SAO PAULO62290525R050000588501952605135450630446BE</t>
  </si>
  <si>
    <t>KETHYLLEN COST.</t>
  </si>
  <si>
    <t>00020126740014br.gov.bcb.pix013686b26441-94eb-4523-9e8a-79120d007b940212000054795478520400005303986540549.815802BR5907TIM S A6009SAO PAULO62290525R3600005479547828051539156304979E</t>
  </si>
  <si>
    <t>00020126740014br.gov.bcb.pix013686b26441-94eb-4523-9e8a-79120d007b940212000054795246520400005303986540534.595802BR5907TIM S A6009SAO PAULO62290525R360000547952462805112937630444A0</t>
  </si>
  <si>
    <t>00020126740014br.gov.bcb.pix013686b26441-94eb-4523-9e8a-79120d007b940212000054793969520400005303986540533.045802BR5907TIM S A6009SAO PAULO62290525R36000054793969260511110263043BB5</t>
  </si>
  <si>
    <t>ANA  CLARA</t>
  </si>
  <si>
    <t>00020126740014br.gov.bcb.pix013686b26441-94eb-4523-9e8a-79120d007b940212000058847826520400005303986540522.035802BR5907TIM S A6009SAO PAULO62290525R0500005884782626051159006304B364</t>
  </si>
  <si>
    <t xml:space="preserve">00020126740014br.gov.bcb.pix013686b26441-94eb-4523-9e8a-79120d007b940212000058893754520400005303986540540.085802BR5907TIM S A6009SAO PAULO62290525R0500005889375428051243046304F6E6
</t>
  </si>
  <si>
    <t>00020126740014br.gov.bcb.pix013686b26441-94eb-4523-9e8a-79120d007b940212000058848869520400005303986540548.495802BR5907TIM S A6009SAO PAULO62290525R0500005884886926051234216304F25D</t>
  </si>
  <si>
    <t>MIKAELLY  MSB</t>
  </si>
  <si>
    <t>00020126740014br.gov.bcb.pix013686b26441-94eb-4523-9e8a-79120d007b940212020021408971520400005303986540547.675802BR5907TIM S A6009SAO PAULO62290525R0502002140897126051207016304FC40</t>
  </si>
  <si>
    <t>00020126740014br.gov.bcb.pix013686b26441-94eb-4523-9e8a-79120d007b940212000058847427520400005303986540541.205802BR5907TIM S A6009SAO PAULO62290525R05000058847427260511565563049460</t>
  </si>
  <si>
    <t>630.054.332-34</t>
  </si>
  <si>
    <t>1.352707806</t>
  </si>
  <si>
    <t>00020126740014br.gov.bcb.pix013686b26441-94eb-4523-9e8a-79120d007b940212000058891751520400005303986540577.865802BR5907TIM S A6009SAO PAULO62290525R05000058891751280511385763040AC5</t>
  </si>
  <si>
    <t>054.401.422-74</t>
  </si>
  <si>
    <t>1.353133688</t>
  </si>
  <si>
    <t xml:space="preserve">mikaelly  c.. </t>
  </si>
  <si>
    <t>00020126740014br.gov.bcb.pix013686b26441-94eb-4523-9e8a-79120d007b940212000058851751520400005303986540540.395802BR5907TIM S A6009SAO PAULO62290525R050000588517512605144755630409C4</t>
  </si>
  <si>
    <t>CLARA  SOUZA</t>
  </si>
  <si>
    <t>00020126740014br.gov.bcb.pix013686b26441-94eb-4523-9e8a-79120d007b94021200005885032452040000530398654049.025802BR5907TIM S A6009SAO PAULO62290525R05000058850324260513592263047BB5</t>
  </si>
  <si>
    <t>VICTORIA  B.</t>
  </si>
  <si>
    <t>00020126740014br.gov.bcb.pix013686b26441-94eb-4523-9e8a-79120d007b940212000058848637520400005303986540532.365802BR5907TIM S A6009SAO PAULO62290525R05000058848637260512264163049027</t>
  </si>
  <si>
    <t>00020126740014br.gov.bcb.pix013686b26441-94eb-4523-9e8a-79120d007b940212000054794003520400005303986540544.415802BR5907TIM S A6009SAO PAULO62290525R36000054794003260511460163043969</t>
  </si>
  <si>
    <t>034.915.102-44</t>
  </si>
  <si>
    <t>1.350026654</t>
  </si>
  <si>
    <t xml:space="preserve">Ana  clara </t>
  </si>
  <si>
    <t xml:space="preserve"> 00020126740014br.gov.bcb.pix013686b26441-94eb-4523-9e8a-79120d007b940212000058895727520400005303986540542.075802BR5907TIM S A6009SAO PAULO62290525R05000058895727280514111363046998</t>
  </si>
  <si>
    <t>997.520.852-53</t>
  </si>
  <si>
    <t>1.349805021</t>
  </si>
  <si>
    <t>00020126740014br.gov.bcb.pix013686b26441-94eb-4523-9e8a-79120d007b940212020021408941520400005303986540545.375802BR5907TIM S A6009SAO PAULO62290525R05020021408941260511525863046682</t>
  </si>
  <si>
    <t>00020126740014br.gov.bcb.pix013686b26441-94eb-4523-9e8a-79120d007b940212000058851002520400005303986540530.005802BR5907TIM S A6009SAO PAULO62290525R05000058851002260514230063046952</t>
  </si>
  <si>
    <t>00020126740014br.gov.bcb.pix013686b26441-94eb-4523-9e8a-79120d007b940212000054794020520400005303986540541.215802BR5907TIM S A6009SAO PAULO62290525R36000054794020260512021963043EA8</t>
  </si>
  <si>
    <t>00020126740014br.gov.bcb.pix013686b26441-94eb-4523-9e8a-79120d007b940212000058914150520400005303986540522.255802BR5907TIM S A6009SAO PAULO62290525R05000058914150290512025463045856</t>
  </si>
  <si>
    <t>00020126740014br.gov.bcb.pix013686b26441-94eb-4523-9e8a-79120d007b940212000058848905520400005303986540551.525802BR5907TIM S A6009SAO PAULO62290525R0500005884890526051235416304509C</t>
  </si>
  <si>
    <t>00020126740014br.gov.bcb.pix013686b26441-94eb-4523-9e8a-79120d007b940212000058869171520400005303986540530.005802BR5907TIM S A6009SAO PAULO62290525R0500005886917127051151066304EC94</t>
  </si>
  <si>
    <t>00020126740014br.gov.bcb.pix013686b26441-94eb-4523-9e8a-79120d007b940212000054794105520400005303986540534.705802BR5907TIM S A6009SAO PAULO62290525R36000054794105260513263463044660</t>
  </si>
  <si>
    <t>00020126740014br.gov.bcb.pix013686b26441-94eb-4523-9e8a-79120d007b940212000054794036520400005303986540534.345802BR5907TIM S A6009SAO PAULO62290525R3600005479403626051221516304F9FE</t>
  </si>
  <si>
    <t>550.285.605-44</t>
  </si>
  <si>
    <t>1.352121956</t>
  </si>
  <si>
    <t xml:space="preserve">00020126740014br.gov.bcb.pix013686b26441-94eb-4523-9e8a-79120d007b940212000058893293520400005303986540545.765802BR5907TIM S A6009SAO PAULO62290525R05000058893293280512270963047EF7
</t>
  </si>
  <si>
    <t>390.635.345-15</t>
  </si>
  <si>
    <t>1.350355655</t>
  </si>
  <si>
    <t>00020126740014br.gov.bcb.pix013686b26441-94eb-4523-9e8a-79120d007b940212000058914165520400005303986540520.875802BR5907TIM S A6009SAO PAULO62290525R05000058914165290512035263049318</t>
  </si>
  <si>
    <t>00020126740014br.gov.bcb.pix013686b26441-94eb-4523-9e8a-79120d007b940212000054794051520400005303986540535.385802BR5907TIM S A6009SAO PAULO62290525R3600005479405126051237096304642C</t>
  </si>
  <si>
    <t>00020126740014br.gov.bcb.pix013686b26441-94eb-4523-9e8a-79120d007b940212000058849691520400005303986540512.685802BR5907TIM S A6009SAO PAULO62290525R0500005884969126051259066304F82E</t>
  </si>
  <si>
    <t>00020126740014br.gov.bcb.pix013686b26441-94eb-4523-9e8a-79120d007b940212000058872100520400005303986540545.275802BR5907TIM S A6009SAO PAULO62290525R0500005887210027051339156304AC59</t>
  </si>
  <si>
    <t>MYKAELLY  C.</t>
  </si>
  <si>
    <t>00020126740014br.gov.bcb.pix013686b26441-94eb-4523-9e8a-79120d007b940212000054794040520400005303986540542.385802BR5907TIM S A6009SAO PAULO62290525R3600005479404026051225326304F122</t>
  </si>
  <si>
    <t xml:space="preserve">CÓDIGO PIX:00020126740014br.gov.bcb.pix013686b26441-94eb-4523-9e8a-79120d007b940212000058850503520400005303986540545.265802BR5907TIM S A6009SAO PAULO62290525R05000058850503260514061063046B7D
</t>
  </si>
  <si>
    <t>798.290.903-53</t>
  </si>
  <si>
    <t>1.353429931</t>
  </si>
  <si>
    <t>00020126740014br.gov.bcb.pix013686b26441-94eb-4523-9e8a-79120d007b940212000058900946520400005303986540540.085802BR5907TIM S A6009SAO PAULO62290525R0500005890094628051730596304500D</t>
  </si>
  <si>
    <t>959.853.443-04</t>
  </si>
  <si>
    <t>1.353790251</t>
  </si>
  <si>
    <t>00020126740014br.gov.bcb.pix013686b26441-94eb-4523-9e8a-79120d007b940212000058892795520400005303986540519.365802BR5907TIM S A6009SAO PAULO62290525R050000588927952805121024630403B9</t>
  </si>
  <si>
    <t>00020126740014br.gov.bcb.pix013686b26441-94eb-4523-9e8a-79120d007b940212000058901473520400005303986540522.755802BR5907TIM S A6009SAO PAULO62290525R05000058901473280517574463048C06;</t>
  </si>
  <si>
    <t>811.365.603-00</t>
  </si>
  <si>
    <t>1.353448285</t>
  </si>
  <si>
    <t>00020126740014br.gov.bcb.pix013686b26441-94eb-4523-9e8a-79120d007b940212000058916831520400005303986540515.425802BR5907TIM S A6009SAO PAULO62290525R0500005891683129051339006304F457</t>
  </si>
  <si>
    <t>1.353688374</t>
  </si>
  <si>
    <t>553.027.853-15</t>
  </si>
  <si>
    <t>1.351735469</t>
  </si>
  <si>
    <t>00020126740014br.gov.bcb.pix013686b26441-94eb-4523-9e8a-79120d007b940212000058896043520400005303986540541.215802BR5907TIM S A6009SAO PAULO62290525R05000058896043280514230263041110</t>
  </si>
  <si>
    <t xml:space="preserve">mikaelly </t>
  </si>
  <si>
    <t>00020126740014br.gov.bcb. pix013686b26441-94eb-4523- 9e8a- 79120d007b94021200005885141252 0400005303986540539. 175802BR5907TIM S A6009SAO PAULO62290525R0500005885141226 05143738630466D7</t>
  </si>
  <si>
    <t>PAGAMENTO-MIKA</t>
  </si>
  <si>
    <t>00020126740014br.gov.bcb.pix013686b26441-94eb-4523-9e8a-79120d007b940212000058855311520400005303986540512.455802BR5907TIM S A6009SAO PAULO62290525R0500005885531126051700106304AC21</t>
  </si>
  <si>
    <t xml:space="preserve">00020126740014br.gov.bcb.pix013686b26441-94eb-4523-9e8a-79120d007b940212000058900031520400005303986540541.395802BR5907TIM S A6009SAO PAULO62290525R05000058900031280516500863044582
</t>
  </si>
  <si>
    <t>00020126740014br.gov.bcb.pix013686b26441-94eb-4523-9e8a-79120d007b940212000058896680520400005303986540541.175802BR5907TIM S A6009SAO PAULO62290525R0500005889668028051455436304625D</t>
  </si>
  <si>
    <t>00020126740014br.gov.bcb.pix013686b26441-94eb-4523-9e8a-79120d007b940212000058849010520400005303986540549.375802BR5907TIM S A6009SAO PAULO62290525R050000588490102605123838630425F8</t>
  </si>
  <si>
    <t>00020126740014br.gov.bcb.pix013686b26441-94eb-4523-9e8a-79120d007b940212000054794486520400005303986540541.685802BR5907TIM S A6009SAO PAULO62290525R3600005479448627050938106304DA73</t>
  </si>
  <si>
    <t>00020126740014br.gov.bcb.pix013686b26441-94eb-4523-9e8a-79120d007b940212000058876358520400005303986540534.715802BR5907TIM S A6009SAO PAULO62290525R05000058876358270515394763048C93</t>
  </si>
  <si>
    <t>087.119.726-02</t>
  </si>
  <si>
    <t>1.351517819</t>
  </si>
  <si>
    <t>00020126740014br.gov.bcb.pix013686b26441-94eb-4523-9e8a-79120d007b940212000058849056520400005303986540545.445802BR5907TIM S A6009SAO PAULO62290525R0500005884905626051239556304B933</t>
  </si>
  <si>
    <t>00020126740014br.gov.bcb.pix013686b26441-94eb-4523-9e8a-79120d007b940212000054794442520400005303986540537.965802BR5907TIM S A6009SAO PAULO62290525R3600005479444227050853516304925D</t>
  </si>
  <si>
    <t>00020126740014br.gov.bcb.pix013686b26441-94eb-4523-9e8a-79120d007b940212000054794476520400005303986540537.545802BR5907TIM S A6009SAO PAULO62290525R36000054794476270509225663040EBE</t>
  </si>
  <si>
    <t>00020126740014br.gov.bcb.pix013686b26441-94eb-4523-9e8a-79120d007b940212000058916906520400005303986540522.515802BR5907TIM S A6009SAO PAULO62290525R0500005891690629051341306304113F</t>
  </si>
  <si>
    <t>00020126740014br.gov.bcb.pix013686b26441-94eb-4523-9e8a-79120d007b940212000058916940520400005303986540520.215802BR5907TIM S A6009SAO PAULO62290525R0500005891694029051342366304C2CB</t>
  </si>
  <si>
    <t>00020126740014br.gov.bcb.pix013686b26441-94eb-4523-9e8a-79120d007b940212000054794568520400005303986540534.445802BR5907TIM S A6009SAO PAULO62290525R3600005479456827051054446304B49C</t>
  </si>
  <si>
    <t>mikaelly cc.</t>
  </si>
  <si>
    <t>00020126740014br.gov.bcb.pix013686b26441-94eb-4523-9e8a-79120d007b940212000058865422520400005303986540520.325802BR5907TIM S A6009SAO PAULO62290525R0500005886542227050950526304230E</t>
  </si>
  <si>
    <t>00020126740014br.gov.bcb.pix013686b26441-94eb-4523-9e8a-79120d007b940212000054794055520400005303986540548.065802BR5907TIM S A6009SAO PAULO62290525R3600005479405526051241256304B840</t>
  </si>
  <si>
    <t>00020126740014br.gov.bcb.pix013686b26441-94eb-4523-9e8a-79120d007b940212000058849249520400005303986540567.885802BR5907TIM S A6009SAO PAULO62290525R05000058849249260512452663047317</t>
  </si>
  <si>
    <t>105.998.756-23</t>
  </si>
  <si>
    <t>1.350113602</t>
  </si>
  <si>
    <t>00020126740014br.gov.bcb.pix013686b26441-94eb-4523-9e8a-79120d007b940212000058916996520400005303986540520.815802BR5907TIM S A6009SAO PAULO62290525R0500005891699629051343426304DC2E</t>
  </si>
  <si>
    <t>00020126740014br.gov.bcb.pix013686b26441-94eb-4523-9e8a-79120d007b940212000058869404520400005303986540540.005802BR5907TIM S A6009SAO PAULO62290525R05000058869404270511570363049166</t>
  </si>
  <si>
    <t>00020126740014br.gov.bcb.pix013686b26441-94eb-4523-9e8a-79120d007b940212000054794594520400005303986540578.295802BR5907TIM S A6009SAO PAULO62290525R36000054794594270511212063048A53</t>
  </si>
  <si>
    <t>00020126740014br.gov.bcb.pix013686b26441-94eb-4523-9e8a-79120d007b940212000058849277520400005303986540543.205802BR5907TIM S A6009SAO PAULO62290525R05000058849277260512462663043F95</t>
  </si>
  <si>
    <t>025.512.866-54</t>
  </si>
  <si>
    <t>1.351746622</t>
  </si>
  <si>
    <t>00020126740014br.gov.bcb.pix013686b26441-94eb-4523-9e8a-79120d007b940212000058891532520400005303986540523.005802BR5907TIM S A6009SAO PAULO62290525R05000058891532280511320863045E0E</t>
  </si>
  <si>
    <t>110.863.016-25</t>
  </si>
  <si>
    <t>1.352965555</t>
  </si>
  <si>
    <t>00020126740014br.gov.bcb.pix013686b26441-94eb-4523-9e8a-79120d007b940212000058891563520400005303986540521.175802BR5907TIM S A6009SAO PAULO62290525R05000058891563280511331663049F27</t>
  </si>
  <si>
    <t>MYKAELLY</t>
  </si>
  <si>
    <t>00020126740014br.gov.bcb.pix013686b26441-94eb-4523-9e8a-79120d007b940212000058873025520400005303986540543.655802BR5907TIM S A6009SAO PAULO62290525R0500005887302527051408576304F2DC</t>
  </si>
  <si>
    <t>599.183.576-49</t>
  </si>
  <si>
    <t>1.353133807</t>
  </si>
  <si>
    <t>SHYRLLY</t>
  </si>
  <si>
    <t>00020126740014br.gov.bcb.pix013686b26441-94eb-4523-9e8a-79120d007b940212000058891976520400005303986540543.675802BR5907TIM S A6009SAO PAULO62290525R0500005889197628051144346304274B</t>
  </si>
  <si>
    <t>927.173.302-91</t>
  </si>
  <si>
    <t>00020126740014br.gov.bcb.pix013686b26441-94eb-4523-9e8a-79120d007b940212000058891493520400005303986540522.845802BR5907TIM S A6009SAO PAULO62290525R0500005889149328051130506304461B</t>
  </si>
  <si>
    <t>00020126740014br.gov.bcb.pix013686b26441-94eb-4523-9e8a-79120d007b940212000058871480520400005303986540530.005802BR5907TIM S A6009SAO PAULO62290525R050000588714802705132206630444ED</t>
  </si>
  <si>
    <t>00020126740014br.gov.bcb.pix013686b26441-94eb-4523-9e8a-79120d007b940212000058849380520400005303986540550.965802BR5907TIM S A6009SAO PAULO62290525R0500005884938026051250336304F33F</t>
  </si>
  <si>
    <t>00020126740014br.gov.bcb.pix013686b26441-94eb-4523-9e8a-79120d007b940212000058891650520400005303986540544.685802BR5907TIM S A6009SAO PAULO62290525R050000588916502805113540630402DD</t>
  </si>
  <si>
    <t>00020126740014br.gov.bcb.pix013686b26441-94eb-4523-9e8a-79120d007b940212000054794431520400005303986540538.065802BR5907TIM S A6009SAO PAULO62290525R36000054794431270509075563046D1B</t>
  </si>
  <si>
    <t>00020126740014br.gov.bcb.pix013686b26441-94eb-4523-9e8a-79120d007b940212000054794598520400005303986540514.565802BR5907TIM S A6009SAO PAULO62290525R36000054794598270511234063049247</t>
  </si>
  <si>
    <t>708.718.584-52</t>
  </si>
  <si>
    <t>1.352002503</t>
  </si>
  <si>
    <t>00020126740014br.gov.bcb.pix013686b26441-94eb-4523-9e8a-79120d007b940212000058868535520400005303986540515.035802BR5907TIM S A6009SAO PAULO62290525R0500005886853527051130186304A5D4</t>
  </si>
  <si>
    <t xml:space="preserve"> 02/06/2026</t>
  </si>
  <si>
    <t>00020126740014br.gov.bcb.pix013686b26441-94eb-4523-9e8a-79120d007b940212000058887478520400005303986540520.885802BR5907TIM S A6009SAO PAULO62290525R0500005888747828050913346304DE24</t>
  </si>
  <si>
    <t>379.395.134-00</t>
  </si>
  <si>
    <t>1.352691630</t>
  </si>
  <si>
    <t>00020126740014br.gov.bcb.pix013686b26441-94eb-4523-9e8a-79120d007b940212000058913878520400005303986540520.625802BR5907TIM S A6009SAO PAULO62290525R050000589138782905115355630453F0</t>
  </si>
  <si>
    <t>00020126740014br.gov.bcb.pix013686b26441-94eb-4523-9e8a-79120d007b940212000058867751520400005303986540511.035802BR5907TIM S A6009SAO PAULO62290525R05000058867751270511050063049288</t>
  </si>
  <si>
    <t>00020126740014br.gov.bcb.pix013686b26441-94eb-4523-9e8a-79120d007b940212000058868670520400005303986540510.345802BR5907TIM S A6009SAO PAULO62290525R0500005886867027051138226304FF93</t>
  </si>
  <si>
    <t>00020126740014br.gov.bcb.pix013686b26441-94eb-4523-9e8a-79120d007b940212000058866193520400005303986540510.345802BR5907TIM S A6009SAO PAULO62290525R0500005886619327051041396304BB72</t>
  </si>
  <si>
    <t>779.469.874-04</t>
  </si>
  <si>
    <t>1.351695802</t>
  </si>
  <si>
    <t>00020126740014br.gov.bcb.pix013686b26441-94eb-4523-9e8a-79120d007b940212000058880065520400005303986540520.575802BR5907TIM S A6009SAO PAULO62290525R050000588800652705174718630449CC</t>
  </si>
  <si>
    <t>750.268.802-15</t>
  </si>
  <si>
    <t>1.351497522</t>
  </si>
  <si>
    <t>417.748.252-87</t>
  </si>
  <si>
    <t>1.352746828</t>
  </si>
  <si>
    <t>00020126740014br.gov.bcb.pix013686b26441-94eb-4523-9e8a-79120d007b940212000058867162520400005303986540517.065802BR5907TIM S A6009SAO PAULO62290525R0500005886716227051045186304AD63</t>
  </si>
  <si>
    <t>00020126740014br.gov.bcb.pix013686b26441-94eb-4523-9e8a-79120d007b940212000054794578520400005303986540523.775802BR5907TIM S A6009SAO PAULO62290525R36000054794578270511174263047433</t>
  </si>
  <si>
    <t>00020126740014br.gov.bcb.pix013686b26441-94eb-4523-9e8a-79120d007b940212000054794603520400005303986540541.915802BR5907TIM S A6009SAO PAULO62290525R36000054794603270511271663046C92</t>
  </si>
  <si>
    <t>00020126740014br.gov.bcb.pix013686b26441-94eb-4523-9e8a-79120d007b940212000054793983520400005303986540521.695802BR5907TIM S A6009SAO PAULO62290525R3600005479398326051120296304AA05</t>
  </si>
  <si>
    <t>473.740.553-15</t>
  </si>
  <si>
    <t>1.350271307</t>
  </si>
  <si>
    <t>012.005.356-00</t>
  </si>
  <si>
    <t>1.351908130</t>
  </si>
  <si>
    <t>00020126740014br.gov.bcb.pix013686b26441-94eb-4523-9e8a-79120d007b9402120000587829475204000053039865406109.995802BR5907TIM S A6009SAO PAULO62290525R050000587829472605112534630495BF</t>
  </si>
  <si>
    <t xml:space="preserve"> 00020126740014br.gov.bcb.pix013686b26441-94eb-4523-9e8a-79120d007b940212000058338300520400005303986540527.915802BR5907TIM S A6009SAO PAULO62290525R05000058338300270409583263043124
</t>
  </si>
  <si>
    <t>988.773.726-72</t>
  </si>
  <si>
    <t>1.352045321</t>
  </si>
  <si>
    <t>00020126740014br.gov.bcb.pix013686b26441-94eb-4523-9e8a-79120d007b940212000058851107520400005303986540522.745802BR5907TIM S A6009SAO PAULO62290525R050000588511072605145848630429EE</t>
  </si>
  <si>
    <t>00020126740014br.gov.bcb.pix013686b26441-94eb-4523-9e8a-79120d007b940212000058845353520400005303986540525.005802BR5907TIM S A6009SAO PAULO62290525R05000058845353260510402863040259</t>
  </si>
  <si>
    <t>683.841.306-04</t>
  </si>
  <si>
    <t>1.351503063</t>
  </si>
  <si>
    <t>00020126740014br.gov.bcb.pix013686b26441-94eb-4523-9e8a-79120d007b940212000058891687520400005303986540511.385802BR5907TIM S A6009SAO PAULO62290525R0500005889168728051136456304BFC3</t>
  </si>
  <si>
    <t>457.010.098-82</t>
  </si>
  <si>
    <t>1.353724423</t>
  </si>
  <si>
    <t>40492729000147</t>
  </si>
  <si>
    <t>7.2191972.10</t>
  </si>
  <si>
    <t>00020126740014br.gov.bcb.pix013686b26441-94eb-4523-9e8a-79120d007b94021200005886815352040000530398654047.535802BR5907TIM S A6009SAO PAULO62290525R0500005886815327051117276304664F</t>
  </si>
  <si>
    <t>25356631000179</t>
  </si>
  <si>
    <t>7.2183841.10</t>
  </si>
  <si>
    <t>00020126740014br.gov.bcb.pix013686b26441-94eb-4523-9e8a-79120d007b940212000058868180520400005303986540515.595802BR5907TIM S A6009SAO PAULO62290525R0500005886818027051118386304A209</t>
  </si>
  <si>
    <t>43318367000160</t>
  </si>
  <si>
    <t>7.2184329.10</t>
  </si>
  <si>
    <t>00020126740014br.gov.bcb.pix013686b26441-94eb-4523-9e8a-79120d007b94021200005886822252040000530398654047.505802BR5907TIM S A6009SAO PAULO62290525R050000588682222705111952630494BE</t>
  </si>
  <si>
    <t>19053327000150</t>
  </si>
  <si>
    <t>7.2187169.10</t>
  </si>
  <si>
    <t>00020126740014br.gov.bcb.pix013686b26441-94eb-4523-9e8a-79120d007b940212000058868249520400005303986540512.225802BR5907TIM S A6009SAO PAULO62290525R0500005886824927051121186304CA80</t>
  </si>
  <si>
    <t>21837978000182</t>
  </si>
  <si>
    <t>7.2185249.10</t>
  </si>
  <si>
    <t>00020126740014br.gov.bcb.pix013686b26441-94eb-4523-9e8a-79120d007b940212000058868312520400005303986540514.425802BR5907TIM S A6009SAO PAULO62290525R0500005886831227051122456304DCEC</t>
  </si>
  <si>
    <t>11899855000112</t>
  </si>
  <si>
    <t>7.2182699.10</t>
  </si>
  <si>
    <t>00020126740014br.gov.bcb.pix013686b26441-94eb-4523-9e8a-79120d007b940212000054794599520400005303986540519.565802BR5907TIM S A6009SAO PAULO62290525R3600005479459927051124336304A5C9</t>
  </si>
  <si>
    <t>827.873.522-00</t>
  </si>
  <si>
    <t>1.353633968</t>
  </si>
  <si>
    <t>12/04/2026</t>
  </si>
  <si>
    <t>01/04/2026</t>
  </si>
  <si>
    <t>013.486.142-69</t>
  </si>
  <si>
    <t>1.349960339</t>
  </si>
  <si>
    <t>00020126740014br.gov.bcb.pix013686b26441-94eb-4523-9e8a-79120d007b9402120000589009015204000053039865406208.715802BR5907TIM S A6009SAO PAULO62290525R05000058900901290515530163047B5C</t>
  </si>
  <si>
    <t>859.083.636-34</t>
  </si>
  <si>
    <t>1.349793491</t>
  </si>
  <si>
    <t>EVELLIN " CHURN"</t>
  </si>
  <si>
    <t>00020126740014br.gov.bcb.pix013686b26441-94eb-4523-9e8a-79120d007b940212000058912827520400005303986540561.225802BR5907TIM S A6009SAO PAULO62290525R050000589128272905112109630402A0</t>
  </si>
  <si>
    <t>JOÃO  VITOR</t>
  </si>
  <si>
    <t>00020126740014br.gov.bcb.pix013686b26441-94eb-4523-9e8a-79120d007b940212000058911248520400005303986540534.315802BR5907TIM S A6009SAO PAULO62290525R05000058911248290511162263049C9D</t>
  </si>
  <si>
    <t>065.962.352-89</t>
  </si>
  <si>
    <t>00020126740014br.gov.bcb.pix013686b26441-94eb-4523-9e8a-79120d007b940212000058920534520400005303986540533.275802BR5907TIM S A6009SAO PAULO62290525R050000589205342905154400630466E9</t>
  </si>
  <si>
    <t xml:space="preserve">00020126740014br.gov.bcb.pix013686b26441-94eb-4523-9e8a-79120d007b940212000054795850520400005303986540561.915802BR5907TIM S A6009SAO PAULO62290525R3600005479585029051036116304A0BF
</t>
  </si>
  <si>
    <t>00020126740014br.gov.bcb.pix013686b26441-94eb-4523-9e8a-79120d007b940212000054795972520400005303986540545.625802BR5907TIM S A6009SAO PAULO62290525R36000054795972290513174163049EE1</t>
  </si>
  <si>
    <t>00020126740014br.gov.bcb.pix013686b26441-94eb-4523-9e8a-79120d007b940212000054795812520400005303986540526.175802BR5907TIM S A6009SAO PAULO62290525R36000054795812290510054163048E63</t>
  </si>
  <si>
    <t>722.808.833-68</t>
  </si>
  <si>
    <t>1.352738006</t>
  </si>
  <si>
    <t>00020126740014br.gov.bcb.pix013686b26441-94eb-4523-9e8a-79120d007b940212000058920594520400005303986540536.295802BR5907TIM S A6009SAO PAULO62290525R0500005892059429051545136304D890</t>
  </si>
  <si>
    <t>253.778.927-04</t>
  </si>
  <si>
    <t>1.352810304</t>
  </si>
  <si>
    <t>00020126740014br.gov.bcb.pix013686b26441-94eb-4523-9e8a-79120d007b940212000058920628520400005303986540533.645802BR5907TIM S A6009SAO PAULO62290525R05000058920628290515465163048501</t>
  </si>
  <si>
    <t>079.083.085-03</t>
  </si>
  <si>
    <t>1.351379239</t>
  </si>
  <si>
    <t>Shirley</t>
  </si>
  <si>
    <t>00020126740014br.gov.bcb.pix013686b26441-94eb-4523-9e8a-79120d007b940212000058910570520400005303986540533.905802BR5907TIM S A6009SAO PAULO62290525R0500005891057029051011276304E8AD</t>
  </si>
  <si>
    <t>00020126740014br.gov.bcb.pix013686b26441-94eb-4523-9e8a-79120d007b940212000058918240520400005303986540512.435802BR5907TIM S A6009SAO PAULO62290525R0500005891824029051429026304FFA7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</si>
</sst>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(&quot;R$&quot;* #,##0.00_);_(&quot;R$&quot;* \(#,##0.00\);_(&quot;R$&quot;* &quot;-&quot;??_);_(@_)"/>
    <numFmt numFmtId="165" formatCode="0000000000000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9"/>
      <color theme="1"/>
      <name val="Helvetica"/>
    </font>
    <font>
      <sz val="9"/>
      <color rgb="FF616161"/>
      <name val="Helvetica Neue"/>
      <charset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thin">
        <color theme="4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  <xf numFmtId="0" fontId="0" fillId="3" borderId="0" xfId="0" applyFill="1"/>
    <xf numFmtId="0" fontId="0" fillId="3" borderId="0" xfId="0" applyFill="1" applyAlignment="1">
      <alignment horizontal="center"/>
    </xf>
    <xf numFmtId="49" fontId="0" fillId="0" borderId="0" xfId="0" applyNumberFormat="1"/>
    <xf numFmtId="165" fontId="1" fillId="2" borderId="1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165" fontId="1" fillId="2" borderId="2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164" fontId="1" fillId="2" borderId="1" xfId="0" applyNumberFormat="1" applyFont="1" applyFill="1" applyBorder="1"/>
    <xf numFmtId="164" fontId="0" fillId="0" borderId="0" xfId="0" applyNumberFormat="1" applyAlignment="1">
      <alignment horizontal="center" vertical="top"/>
    </xf>
    <xf numFmtId="14" fontId="0" fillId="0" borderId="0" xfId="0" applyNumberFormat="1" applyAlignment="1">
      <alignment horizontal="right"/>
    </xf>
    <xf numFmtId="14" fontId="0" fillId="3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14" fontId="1" fillId="2" borderId="1" xfId="0" applyNumberFormat="1" applyFont="1" applyFill="1" applyBorder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3" borderId="0" xfId="0" applyFill="1" applyAlignment="1">
      <alignment horizontal="center" vertical="top"/>
    </xf>
    <xf numFmtId="0" fontId="2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14" fontId="0" fillId="0" borderId="0" xfId="0" applyNumberFormat="1" applyAlignment="1">
      <alignment horizontal="center" vertical="top"/>
    </xf>
    <xf numFmtId="3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165" fontId="6" fillId="2" borderId="1" xfId="0" applyNumberFormat="1" applyFont="1" applyFill="1" applyBorder="1" applyAlignment="1">
      <alignment horizontal="center" vertical="top"/>
    </xf>
    <xf numFmtId="165" fontId="6" fillId="2" borderId="1" xfId="0" applyNumberFormat="1" applyFont="1" applyFill="1" applyBorder="1" applyAlignment="1">
      <alignment horizontal="center"/>
    </xf>
    <xf numFmtId="14" fontId="6" fillId="2" borderId="1" xfId="0" applyNumberFormat="1" applyFont="1" applyFill="1" applyBorder="1" applyAlignment="1">
      <alignment horizontal="center"/>
    </xf>
    <xf numFmtId="165" fontId="6" fillId="2" borderId="2" xfId="0" applyNumberFormat="1" applyFont="1" applyFill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14" fontId="7" fillId="0" borderId="0" xfId="0" applyNumberFormat="1" applyFont="1"/>
    <xf numFmtId="14" fontId="7" fillId="0" borderId="0" xfId="0" applyNumberFormat="1" applyFont="1" applyAlignment="1">
      <alignment horizontal="right"/>
    </xf>
    <xf numFmtId="3" fontId="7" fillId="0" borderId="0" xfId="0" applyNumberFormat="1" applyFont="1"/>
    <xf numFmtId="44" fontId="7" fillId="0" borderId="0" xfId="0" applyNumberFormat="1" applyFont="1" applyAlignment="1">
      <alignment horizontal="center"/>
    </xf>
    <xf numFmtId="3" fontId="7" fillId="0" borderId="0" xfId="0" applyNumberFormat="1" applyFont="1" applyAlignment="1">
      <alignment wrapText="1"/>
    </xf>
    <xf numFmtId="0" fontId="7" fillId="0" borderId="0" xfId="0" applyFont="1" applyAlignment="1">
      <alignment vertical="top"/>
    </xf>
    <xf numFmtId="44" fontId="7" fillId="0" borderId="0" xfId="0" applyNumberFormat="1" applyFont="1"/>
    <xf numFmtId="0" fontId="7" fillId="5" borderId="0" xfId="0" applyFont="1" applyFill="1"/>
    <xf numFmtId="0" fontId="7" fillId="5" borderId="0" xfId="0" applyFont="1" applyFill="1" applyAlignment="1">
      <alignment horizontal="center"/>
    </xf>
    <xf numFmtId="14" fontId="7" fillId="5" borderId="0" xfId="0" applyNumberFormat="1" applyFont="1" applyFill="1"/>
    <xf numFmtId="14" fontId="7" fillId="5" borderId="0" xfId="0" applyNumberFormat="1" applyFont="1" applyFill="1" applyAlignment="1">
      <alignment horizontal="right"/>
    </xf>
    <xf numFmtId="44" fontId="7" fillId="5" borderId="0" xfId="0" applyNumberFormat="1" applyFont="1" applyFill="1"/>
    <xf numFmtId="0" fontId="7" fillId="0" borderId="0" xfId="0" applyFont="1" applyAlignment="1">
      <alignment horizontal="center" vertical="top"/>
    </xf>
    <xf numFmtId="44" fontId="6" fillId="2" borderId="1" xfId="0" applyNumberFormat="1" applyFont="1" applyFill="1" applyBorder="1" applyAlignment="1">
      <alignment horizontal="center"/>
    </xf>
    <xf numFmtId="44" fontId="7" fillId="0" borderId="0" xfId="0" applyNumberFormat="1" applyFont="1" applyAlignment="1">
      <alignment horizontal="center" wrapText="1"/>
    </xf>
    <xf numFmtId="44" fontId="7" fillId="5" borderId="0" xfId="0" applyNumberFormat="1" applyFont="1" applyFill="1" applyAlignment="1">
      <alignment horizontal="center"/>
    </xf>
    <xf numFmtId="44" fontId="0" fillId="0" borderId="0" xfId="0" applyNumberFormat="1"/>
    <xf numFmtId="44" fontId="7" fillId="0" borderId="0" xfId="0" applyNumberFormat="1" applyFont="1" applyAlignment="1">
      <alignment wrapText="1"/>
    </xf>
    <xf numFmtId="44" fontId="7" fillId="0" borderId="0" xfId="0" applyNumberFormat="1" applyFont="1" applyAlignment="1">
      <alignment horizontal="center" vertical="top"/>
    </xf>
    <xf numFmtId="49" fontId="7" fillId="0" borderId="0" xfId="0" applyNumberFormat="1" applyFont="1" applyAlignment="1">
      <alignment horizontal="left"/>
    </xf>
    <xf numFmtId="14" fontId="6" fillId="2" borderId="1" xfId="0" applyNumberFormat="1" applyFont="1" applyFill="1" applyBorder="1" applyAlignment="1">
      <alignment horizontal="right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49" fontId="7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50390AD-DB2B-4AEF-85DE-D081D416A679}">
  <we:reference id="wa200005502" version="1.0.0.12" store="pt-BR" storeType="OMEX"/>
  <we:alternateReferences>
    <we:reference id="WA200005502" version="1.0.0.12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DEA58-1D96-4B5C-94ED-298820EF43D3}">
  <dimension ref="A1:M1025"/>
  <sheetViews>
    <sheetView tabSelected="1" workbookViewId="0">
      <selection activeCell="D1" sqref="D1"/>
    </sheetView>
  </sheetViews>
  <sheetFormatPr defaultRowHeight="15"/>
  <cols>
    <col min="1" max="1" width="19.7109375" style="43" bestFit="1" customWidth="1"/>
    <col min="2" max="2" width="17" style="36" bestFit="1" customWidth="1"/>
    <col min="3" max="3" width="14.7109375" style="37" bestFit="1" customWidth="1"/>
    <col min="4" max="4" width="16.42578125" style="37" bestFit="1" customWidth="1"/>
    <col min="5" max="5" width="15.85546875" style="37" bestFit="1" customWidth="1"/>
    <col min="6" max="6" width="11.140625" style="38" bestFit="1" customWidth="1"/>
    <col min="7" max="7" width="21" style="39" bestFit="1" customWidth="1"/>
    <col min="8" max="8" width="21.85546875" style="44" bestFit="1" customWidth="1"/>
    <col min="9" max="9" width="22.5703125" style="44" bestFit="1" customWidth="1"/>
    <col min="10" max="10" width="18.7109375" style="39" customWidth="1"/>
    <col min="11" max="11" width="20.7109375" style="36" customWidth="1"/>
    <col min="12" max="12" width="25.85546875" style="37" bestFit="1" customWidth="1"/>
    <col min="13" max="13" width="12.140625" style="36" bestFit="1" customWidth="1"/>
    <col min="14" max="16384" width="9.140625" style="36"/>
  </cols>
  <sheetData>
    <row r="1" spans="1:12">
      <c r="A1" s="32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58" t="s">
        <v>6</v>
      </c>
      <c r="H1" s="51" t="s">
        <v>7</v>
      </c>
      <c r="I1" s="51" t="s">
        <v>8</v>
      </c>
      <c r="J1" s="34" t="s">
        <v>9</v>
      </c>
      <c r="K1" s="33" t="s">
        <v>10</v>
      </c>
      <c r="L1" s="35" t="s">
        <v>11</v>
      </c>
    </row>
    <row r="2" spans="1:12">
      <c r="A2" s="36" t="s">
        <v>12</v>
      </c>
      <c r="B2" s="36" t="s">
        <v>13</v>
      </c>
      <c r="C2" s="37" t="s">
        <v>14</v>
      </c>
      <c r="D2" s="37" t="s">
        <v>15</v>
      </c>
      <c r="E2" s="37" t="s">
        <v>16</v>
      </c>
      <c r="F2" s="38">
        <v>46174</v>
      </c>
      <c r="G2" s="39">
        <v>46149</v>
      </c>
      <c r="H2" s="41">
        <v>4.2300000000000004</v>
      </c>
      <c r="I2" s="41"/>
      <c r="J2" s="39">
        <v>46179</v>
      </c>
      <c r="L2" s="37" t="s">
        <v>17</v>
      </c>
    </row>
    <row r="3" spans="1:12">
      <c r="A3" s="36" t="s">
        <v>18</v>
      </c>
      <c r="B3" s="36" t="s">
        <v>19</v>
      </c>
      <c r="C3" s="37" t="s">
        <v>14</v>
      </c>
      <c r="D3" s="37" t="s">
        <v>15</v>
      </c>
      <c r="E3" s="37" t="s">
        <v>20</v>
      </c>
      <c r="F3" s="38">
        <v>46174</v>
      </c>
      <c r="G3" s="39">
        <v>46143</v>
      </c>
      <c r="H3" s="41">
        <v>87.12</v>
      </c>
      <c r="I3" s="41">
        <v>18.98</v>
      </c>
      <c r="J3" s="39">
        <v>46179</v>
      </c>
      <c r="K3" s="36" t="s">
        <v>21</v>
      </c>
      <c r="L3" s="37" t="s">
        <v>17</v>
      </c>
    </row>
    <row r="4" spans="1:12">
      <c r="A4" s="36" t="s">
        <v>22</v>
      </c>
      <c r="B4" s="40" t="str">
        <f>"1.353690188"</f>
        <v>1.353690188</v>
      </c>
      <c r="C4" s="37" t="s">
        <v>14</v>
      </c>
      <c r="D4" s="37" t="s">
        <v>15</v>
      </c>
      <c r="E4" s="37" t="s">
        <v>23</v>
      </c>
      <c r="F4" s="38">
        <v>46176</v>
      </c>
      <c r="G4" s="39">
        <v>46149</v>
      </c>
      <c r="H4" s="44">
        <v>88.74</v>
      </c>
      <c r="I4" s="44">
        <v>30.19</v>
      </c>
      <c r="J4" s="39">
        <v>46178</v>
      </c>
      <c r="K4" s="36" t="s">
        <v>24</v>
      </c>
      <c r="L4" s="37" t="s">
        <v>17</v>
      </c>
    </row>
    <row r="5" spans="1:12">
      <c r="A5" s="36" t="s">
        <v>25</v>
      </c>
      <c r="B5" s="36" t="s">
        <v>26</v>
      </c>
      <c r="C5" s="37" t="s">
        <v>14</v>
      </c>
      <c r="D5" s="37" t="s">
        <v>15</v>
      </c>
      <c r="E5" s="37" t="s">
        <v>20</v>
      </c>
      <c r="F5" s="38">
        <v>46174</v>
      </c>
      <c r="G5" s="39">
        <v>46149</v>
      </c>
      <c r="H5" s="41">
        <v>109.06</v>
      </c>
      <c r="I5" s="41">
        <v>22.47</v>
      </c>
      <c r="J5" s="39">
        <v>46179</v>
      </c>
      <c r="K5" s="36" t="s">
        <v>27</v>
      </c>
      <c r="L5" s="37" t="s">
        <v>17</v>
      </c>
    </row>
    <row r="6" spans="1:12">
      <c r="A6" s="36" t="s">
        <v>28</v>
      </c>
      <c r="B6" s="36" t="s">
        <v>29</v>
      </c>
      <c r="C6" s="37" t="s">
        <v>14</v>
      </c>
      <c r="D6" s="37" t="s">
        <v>15</v>
      </c>
      <c r="E6" s="37" t="s">
        <v>20</v>
      </c>
      <c r="F6" s="38">
        <v>46174</v>
      </c>
      <c r="G6" s="39">
        <v>46149</v>
      </c>
      <c r="H6" s="41">
        <v>109.99</v>
      </c>
      <c r="I6" s="41">
        <v>6.62</v>
      </c>
      <c r="J6" s="39">
        <v>46179</v>
      </c>
      <c r="K6" s="36" t="s">
        <v>30</v>
      </c>
      <c r="L6" s="37" t="s">
        <v>17</v>
      </c>
    </row>
    <row r="7" spans="1:12">
      <c r="A7" s="36" t="s">
        <v>31</v>
      </c>
      <c r="B7" s="40" t="str">
        <f>"1.353267480"</f>
        <v>1.353267480</v>
      </c>
      <c r="C7" s="37" t="s">
        <v>14</v>
      </c>
      <c r="D7" s="37" t="s">
        <v>15</v>
      </c>
      <c r="E7" s="37" t="s">
        <v>16</v>
      </c>
      <c r="F7" s="38">
        <v>46174</v>
      </c>
      <c r="G7" s="39">
        <v>46149</v>
      </c>
      <c r="H7" s="41">
        <v>28.42</v>
      </c>
      <c r="I7" s="41"/>
      <c r="J7" s="39">
        <v>46179</v>
      </c>
      <c r="L7" s="37" t="s">
        <v>17</v>
      </c>
    </row>
    <row r="8" spans="1:12">
      <c r="A8" s="36" t="s">
        <v>32</v>
      </c>
      <c r="B8" s="36" t="s">
        <v>33</v>
      </c>
      <c r="C8" s="37" t="s">
        <v>14</v>
      </c>
      <c r="D8" s="37" t="s">
        <v>15</v>
      </c>
      <c r="E8" s="37" t="s">
        <v>20</v>
      </c>
      <c r="F8" s="38">
        <v>46174</v>
      </c>
      <c r="G8" s="39">
        <v>46149</v>
      </c>
      <c r="H8" s="41">
        <v>133.47</v>
      </c>
      <c r="I8" s="41">
        <v>26.72</v>
      </c>
      <c r="J8" s="39">
        <v>46179</v>
      </c>
      <c r="K8" s="36" t="s">
        <v>34</v>
      </c>
      <c r="L8" s="37" t="s">
        <v>17</v>
      </c>
    </row>
    <row r="9" spans="1:12">
      <c r="A9" s="36" t="s">
        <v>35</v>
      </c>
      <c r="B9" s="36" t="s">
        <v>36</v>
      </c>
      <c r="C9" s="37" t="s">
        <v>14</v>
      </c>
      <c r="D9" s="37" t="s">
        <v>15</v>
      </c>
      <c r="E9" s="37" t="s">
        <v>20</v>
      </c>
      <c r="F9" s="38">
        <v>46174</v>
      </c>
      <c r="G9" s="39">
        <v>46143</v>
      </c>
      <c r="H9" s="41">
        <v>109.99</v>
      </c>
      <c r="I9" s="41">
        <v>31.73</v>
      </c>
      <c r="J9" s="39">
        <v>46179</v>
      </c>
      <c r="K9" s="36" t="s">
        <v>37</v>
      </c>
      <c r="L9" s="37" t="s">
        <v>17</v>
      </c>
    </row>
    <row r="10" spans="1:12">
      <c r="A10" s="36" t="s">
        <v>38</v>
      </c>
      <c r="B10" s="36" t="s">
        <v>39</v>
      </c>
      <c r="C10" s="37" t="s">
        <v>14</v>
      </c>
      <c r="D10" s="37" t="s">
        <v>15</v>
      </c>
      <c r="E10" s="37" t="s">
        <v>20</v>
      </c>
      <c r="F10" s="38">
        <v>46174</v>
      </c>
      <c r="G10" s="39">
        <v>46143</v>
      </c>
      <c r="H10" s="41">
        <v>111.48</v>
      </c>
      <c r="I10" s="41">
        <v>22.78</v>
      </c>
      <c r="J10" s="39">
        <v>46179</v>
      </c>
      <c r="K10" s="36" t="s">
        <v>40</v>
      </c>
      <c r="L10" s="37" t="s">
        <v>17</v>
      </c>
    </row>
    <row r="11" spans="1:12">
      <c r="A11" s="36" t="s">
        <v>41</v>
      </c>
      <c r="B11" s="36" t="s">
        <v>42</v>
      </c>
      <c r="C11" s="37" t="s">
        <v>14</v>
      </c>
      <c r="D11" s="37" t="s">
        <v>15</v>
      </c>
      <c r="E11" s="37" t="s">
        <v>20</v>
      </c>
      <c r="F11" s="38">
        <v>46174</v>
      </c>
      <c r="G11" s="39">
        <v>46143</v>
      </c>
      <c r="H11" s="41">
        <v>99.99</v>
      </c>
      <c r="I11" s="41">
        <v>20.3</v>
      </c>
      <c r="J11" s="39">
        <v>46179</v>
      </c>
      <c r="K11" s="36" t="s">
        <v>43</v>
      </c>
      <c r="L11" s="37" t="s">
        <v>17</v>
      </c>
    </row>
    <row r="12" spans="1:12">
      <c r="A12" s="36" t="s">
        <v>44</v>
      </c>
      <c r="B12" s="40" t="str">
        <f>"1.353886433"</f>
        <v>1.353886433</v>
      </c>
      <c r="C12" s="37" t="s">
        <v>14</v>
      </c>
      <c r="D12" s="37" t="s">
        <v>15</v>
      </c>
      <c r="E12" s="37" t="s">
        <v>20</v>
      </c>
      <c r="F12" s="38">
        <v>46176</v>
      </c>
      <c r="G12" s="39">
        <v>46149</v>
      </c>
      <c r="H12" s="44">
        <v>63.88</v>
      </c>
      <c r="I12" s="44">
        <v>17.46</v>
      </c>
      <c r="J12" s="39">
        <v>46179</v>
      </c>
      <c r="K12" s="36" t="s">
        <v>45</v>
      </c>
      <c r="L12" s="37" t="s">
        <v>17</v>
      </c>
    </row>
    <row r="13" spans="1:12">
      <c r="A13" s="36" t="s">
        <v>46</v>
      </c>
      <c r="B13" s="36" t="s">
        <v>47</v>
      </c>
      <c r="C13" s="37" t="s">
        <v>14</v>
      </c>
      <c r="D13" s="37" t="s">
        <v>15</v>
      </c>
      <c r="E13" s="37" t="s">
        <v>20</v>
      </c>
      <c r="F13" s="38">
        <v>46174</v>
      </c>
      <c r="G13" s="39">
        <v>46149</v>
      </c>
      <c r="H13" s="41">
        <v>61.31</v>
      </c>
      <c r="I13" s="41">
        <v>16.3</v>
      </c>
      <c r="J13" s="39">
        <v>46179</v>
      </c>
      <c r="K13" s="36" t="s">
        <v>48</v>
      </c>
      <c r="L13" s="37" t="s">
        <v>17</v>
      </c>
    </row>
    <row r="14" spans="1:12">
      <c r="A14" s="36" t="s">
        <v>49</v>
      </c>
      <c r="B14" s="36" t="s">
        <v>50</v>
      </c>
      <c r="C14" s="37" t="s">
        <v>14</v>
      </c>
      <c r="D14" s="37" t="s">
        <v>15</v>
      </c>
      <c r="E14" s="37" t="s">
        <v>20</v>
      </c>
      <c r="F14" s="38">
        <v>46174</v>
      </c>
      <c r="G14" s="39">
        <v>46149</v>
      </c>
      <c r="H14" s="41">
        <v>119.99</v>
      </c>
      <c r="I14" s="41">
        <v>24.34</v>
      </c>
      <c r="J14" s="39">
        <v>46179</v>
      </c>
      <c r="K14" s="36" t="s">
        <v>51</v>
      </c>
      <c r="L14" s="37" t="s">
        <v>17</v>
      </c>
    </row>
    <row r="15" spans="1:12">
      <c r="A15" s="36" t="s">
        <v>28</v>
      </c>
      <c r="B15" s="36" t="s">
        <v>52</v>
      </c>
      <c r="C15" s="37" t="s">
        <v>14</v>
      </c>
      <c r="D15" s="37" t="s">
        <v>15</v>
      </c>
      <c r="E15" s="37" t="s">
        <v>20</v>
      </c>
      <c r="F15" s="38">
        <v>46174</v>
      </c>
      <c r="G15" s="39">
        <v>46149</v>
      </c>
      <c r="H15" s="41">
        <v>129.99</v>
      </c>
      <c r="I15" s="41">
        <v>26.37</v>
      </c>
      <c r="J15" s="39">
        <v>46179</v>
      </c>
      <c r="K15" s="36" t="s">
        <v>53</v>
      </c>
      <c r="L15" s="37" t="s">
        <v>17</v>
      </c>
    </row>
    <row r="16" spans="1:12">
      <c r="A16" s="36" t="s">
        <v>54</v>
      </c>
      <c r="B16" s="40" t="str">
        <f>"1.352559042"</f>
        <v>1.352559042</v>
      </c>
      <c r="C16" s="37" t="s">
        <v>14</v>
      </c>
      <c r="D16" s="37" t="s">
        <v>15</v>
      </c>
      <c r="E16" s="37" t="s">
        <v>55</v>
      </c>
      <c r="F16" s="38">
        <v>46175</v>
      </c>
      <c r="G16" s="39">
        <v>46149</v>
      </c>
      <c r="H16" s="41">
        <v>110.42</v>
      </c>
      <c r="I16" s="41">
        <v>44.71</v>
      </c>
      <c r="J16" s="39">
        <v>46178</v>
      </c>
      <c r="K16" s="36" t="s">
        <v>56</v>
      </c>
      <c r="L16" s="37" t="s">
        <v>17</v>
      </c>
    </row>
    <row r="17" spans="1:12">
      <c r="A17" s="36" t="s">
        <v>57</v>
      </c>
      <c r="B17" s="40" t="str">
        <f>"1.353720234"</f>
        <v>1.353720234</v>
      </c>
      <c r="C17" s="37" t="s">
        <v>14</v>
      </c>
      <c r="D17" s="37" t="s">
        <v>15</v>
      </c>
      <c r="E17" s="37" t="s">
        <v>58</v>
      </c>
      <c r="F17" s="38">
        <v>46175</v>
      </c>
      <c r="G17" s="39">
        <v>46149</v>
      </c>
      <c r="H17" s="41">
        <v>85.2</v>
      </c>
      <c r="I17" s="41">
        <v>35</v>
      </c>
      <c r="J17" s="39">
        <v>46177</v>
      </c>
      <c r="K17" s="36" t="s">
        <v>59</v>
      </c>
      <c r="L17" s="37" t="s">
        <v>17</v>
      </c>
    </row>
    <row r="18" spans="1:12">
      <c r="A18" s="36" t="s">
        <v>60</v>
      </c>
      <c r="B18" s="36" t="s">
        <v>61</v>
      </c>
      <c r="C18" s="37" t="s">
        <v>14</v>
      </c>
      <c r="D18" s="37" t="s">
        <v>15</v>
      </c>
      <c r="E18" s="37" t="s">
        <v>62</v>
      </c>
      <c r="F18" s="38">
        <v>46175</v>
      </c>
      <c r="G18" s="39">
        <v>46143</v>
      </c>
      <c r="H18" s="41">
        <v>110.27</v>
      </c>
      <c r="I18" s="41">
        <v>25</v>
      </c>
      <c r="J18" s="39">
        <v>46178</v>
      </c>
      <c r="K18" s="36" t="s">
        <v>63</v>
      </c>
      <c r="L18" s="37" t="s">
        <v>17</v>
      </c>
    </row>
    <row r="19" spans="1:12">
      <c r="A19" s="36" t="s">
        <v>64</v>
      </c>
      <c r="B19" s="36" t="s">
        <v>65</v>
      </c>
      <c r="C19" s="37" t="s">
        <v>14</v>
      </c>
      <c r="D19" s="37" t="s">
        <v>15</v>
      </c>
      <c r="E19" s="37" t="s">
        <v>58</v>
      </c>
      <c r="F19" s="38">
        <v>46175</v>
      </c>
      <c r="G19" s="39">
        <v>46149</v>
      </c>
      <c r="H19" s="41">
        <v>109.99</v>
      </c>
      <c r="I19" s="41">
        <v>45</v>
      </c>
      <c r="J19" s="39">
        <v>46179</v>
      </c>
      <c r="K19" s="36" t="s">
        <v>66</v>
      </c>
      <c r="L19" s="37" t="s">
        <v>17</v>
      </c>
    </row>
    <row r="20" spans="1:12">
      <c r="A20" s="36" t="s">
        <v>67</v>
      </c>
      <c r="B20" s="36" t="s">
        <v>68</v>
      </c>
      <c r="C20" s="37" t="s">
        <v>14</v>
      </c>
      <c r="D20" s="37" t="s">
        <v>15</v>
      </c>
      <c r="E20" s="37" t="s">
        <v>55</v>
      </c>
      <c r="F20" s="38">
        <v>46175</v>
      </c>
      <c r="G20" s="39">
        <v>46149</v>
      </c>
      <c r="H20" s="41">
        <v>129.99</v>
      </c>
      <c r="I20" s="41">
        <v>39.53</v>
      </c>
      <c r="J20" s="39">
        <v>46178</v>
      </c>
      <c r="K20" s="36" t="s">
        <v>69</v>
      </c>
      <c r="L20" s="37" t="s">
        <v>17</v>
      </c>
    </row>
    <row r="21" spans="1:12">
      <c r="A21" s="36" t="s">
        <v>70</v>
      </c>
      <c r="B21" s="36" t="s">
        <v>71</v>
      </c>
      <c r="C21" s="37" t="s">
        <v>14</v>
      </c>
      <c r="D21" s="37" t="s">
        <v>15</v>
      </c>
      <c r="E21" s="37" t="s">
        <v>23</v>
      </c>
      <c r="F21" s="38">
        <v>46176</v>
      </c>
      <c r="G21" s="39">
        <v>46149</v>
      </c>
      <c r="H21" s="44">
        <v>94.23</v>
      </c>
      <c r="I21" s="44">
        <v>31.03</v>
      </c>
      <c r="J21" s="39">
        <v>46178</v>
      </c>
      <c r="K21" s="36" t="s">
        <v>72</v>
      </c>
      <c r="L21" s="37" t="s">
        <v>17</v>
      </c>
    </row>
    <row r="22" spans="1:12">
      <c r="A22" s="36" t="s">
        <v>73</v>
      </c>
      <c r="B22" s="36" t="s">
        <v>74</v>
      </c>
      <c r="C22" s="37" t="s">
        <v>14</v>
      </c>
      <c r="D22" s="37" t="s">
        <v>15</v>
      </c>
      <c r="E22" s="37" t="s">
        <v>16</v>
      </c>
      <c r="F22" s="38">
        <v>46174</v>
      </c>
      <c r="G22" s="39">
        <v>46149</v>
      </c>
      <c r="H22" s="41">
        <v>24.86</v>
      </c>
      <c r="I22" s="41"/>
      <c r="J22" s="39">
        <v>46179</v>
      </c>
      <c r="L22" s="37" t="s">
        <v>17</v>
      </c>
    </row>
    <row r="23" spans="1:12">
      <c r="A23" s="36" t="s">
        <v>75</v>
      </c>
      <c r="B23" s="36" t="s">
        <v>76</v>
      </c>
      <c r="C23" s="37" t="s">
        <v>14</v>
      </c>
      <c r="D23" s="37" t="s">
        <v>15</v>
      </c>
      <c r="E23" s="37" t="s">
        <v>55</v>
      </c>
      <c r="F23" s="38">
        <v>46175</v>
      </c>
      <c r="G23" s="39">
        <v>46149</v>
      </c>
      <c r="H23" s="41">
        <v>109.99</v>
      </c>
      <c r="I23" s="41">
        <v>47.55</v>
      </c>
      <c r="J23" s="39">
        <v>46179</v>
      </c>
      <c r="K23" s="36" t="s">
        <v>77</v>
      </c>
      <c r="L23" s="37" t="s">
        <v>17</v>
      </c>
    </row>
    <row r="24" spans="1:12">
      <c r="A24" s="36" t="s">
        <v>78</v>
      </c>
      <c r="B24" s="36" t="s">
        <v>79</v>
      </c>
      <c r="C24" s="37" t="s">
        <v>14</v>
      </c>
      <c r="D24" s="37" t="s">
        <v>15</v>
      </c>
      <c r="E24" s="37" t="s">
        <v>80</v>
      </c>
      <c r="F24" s="38">
        <v>46176</v>
      </c>
      <c r="G24" s="39">
        <v>46143</v>
      </c>
      <c r="H24" s="41">
        <v>67.44</v>
      </c>
      <c r="I24" s="41">
        <v>35.9</v>
      </c>
      <c r="J24" s="39">
        <v>46179</v>
      </c>
      <c r="K24" s="36" t="s">
        <v>81</v>
      </c>
      <c r="L24" s="37" t="s">
        <v>17</v>
      </c>
    </row>
    <row r="25" spans="1:12">
      <c r="A25" s="36" t="s">
        <v>82</v>
      </c>
      <c r="B25" s="36" t="s">
        <v>83</v>
      </c>
      <c r="C25" s="37" t="s">
        <v>14</v>
      </c>
      <c r="D25" s="37" t="s">
        <v>15</v>
      </c>
      <c r="E25" s="37" t="s">
        <v>62</v>
      </c>
      <c r="F25" s="38">
        <v>46174</v>
      </c>
      <c r="G25" s="39">
        <v>46143</v>
      </c>
      <c r="H25" s="41">
        <v>100.67</v>
      </c>
      <c r="I25" s="41">
        <v>44.74</v>
      </c>
      <c r="J25" s="39">
        <v>46178</v>
      </c>
      <c r="K25" s="36" t="s">
        <v>84</v>
      </c>
      <c r="L25" s="37" t="s">
        <v>17</v>
      </c>
    </row>
    <row r="26" spans="1:12">
      <c r="A26" s="36" t="s">
        <v>85</v>
      </c>
      <c r="B26" s="36" t="s">
        <v>86</v>
      </c>
      <c r="C26" s="37" t="s">
        <v>14</v>
      </c>
      <c r="D26" s="37" t="s">
        <v>15</v>
      </c>
      <c r="E26" s="37" t="s">
        <v>55</v>
      </c>
      <c r="F26" s="38">
        <v>46175</v>
      </c>
      <c r="G26" s="39">
        <v>46149</v>
      </c>
      <c r="H26" s="41">
        <v>119.99</v>
      </c>
      <c r="I26" s="41">
        <v>48.74</v>
      </c>
      <c r="J26" s="39">
        <v>46178</v>
      </c>
      <c r="K26" s="36" t="s">
        <v>87</v>
      </c>
      <c r="L26" s="37" t="s">
        <v>17</v>
      </c>
    </row>
    <row r="27" spans="1:12">
      <c r="A27" s="36" t="s">
        <v>88</v>
      </c>
      <c r="B27" s="36" t="s">
        <v>89</v>
      </c>
      <c r="C27" s="37" t="s">
        <v>14</v>
      </c>
      <c r="D27" s="37" t="s">
        <v>15</v>
      </c>
      <c r="E27" s="37" t="s">
        <v>62</v>
      </c>
      <c r="F27" s="38">
        <v>46175</v>
      </c>
      <c r="G27" s="39">
        <v>46143</v>
      </c>
      <c r="H27" s="41">
        <v>111.91</v>
      </c>
      <c r="I27" s="41">
        <v>23.06</v>
      </c>
      <c r="J27" s="39">
        <v>46178</v>
      </c>
      <c r="K27" s="36" t="s">
        <v>90</v>
      </c>
      <c r="L27" s="37" t="s">
        <v>17</v>
      </c>
    </row>
    <row r="28" spans="1:12">
      <c r="A28" s="36" t="s">
        <v>91</v>
      </c>
      <c r="B28" s="36" t="s">
        <v>92</v>
      </c>
      <c r="C28" s="37" t="s">
        <v>14</v>
      </c>
      <c r="D28" s="37" t="s">
        <v>15</v>
      </c>
      <c r="E28" s="37" t="s">
        <v>16</v>
      </c>
      <c r="F28" s="38">
        <v>46174</v>
      </c>
      <c r="G28" s="39">
        <v>46149</v>
      </c>
      <c r="H28" s="41">
        <v>3.58</v>
      </c>
      <c r="I28" s="41"/>
      <c r="J28" s="39">
        <v>46179</v>
      </c>
      <c r="L28" s="37" t="s">
        <v>17</v>
      </c>
    </row>
    <row r="29" spans="1:12">
      <c r="A29" s="36" t="s">
        <v>93</v>
      </c>
      <c r="B29" s="40" t="str">
        <f>"1.351708890"</f>
        <v>1.351708890</v>
      </c>
      <c r="C29" s="37" t="s">
        <v>14</v>
      </c>
      <c r="D29" s="37" t="s">
        <v>15</v>
      </c>
      <c r="E29" s="37" t="s">
        <v>80</v>
      </c>
      <c r="F29" s="38">
        <v>46176</v>
      </c>
      <c r="G29" s="39">
        <v>46149</v>
      </c>
      <c r="H29" s="41">
        <v>112.17</v>
      </c>
      <c r="I29" s="41">
        <v>45.58</v>
      </c>
      <c r="J29" s="39">
        <v>46178</v>
      </c>
      <c r="K29" s="36" t="s">
        <v>94</v>
      </c>
      <c r="L29" s="37" t="s">
        <v>17</v>
      </c>
    </row>
    <row r="30" spans="1:12">
      <c r="A30" s="36" t="s">
        <v>95</v>
      </c>
      <c r="B30" s="36" t="s">
        <v>96</v>
      </c>
      <c r="C30" s="37" t="s">
        <v>14</v>
      </c>
      <c r="D30" s="37" t="s">
        <v>15</v>
      </c>
      <c r="E30" s="37" t="s">
        <v>16</v>
      </c>
      <c r="F30" s="38">
        <v>46174</v>
      </c>
      <c r="G30" s="39">
        <v>46149</v>
      </c>
      <c r="H30" s="41">
        <v>17.760000000000002</v>
      </c>
      <c r="I30" s="41"/>
      <c r="J30" s="39">
        <v>46179</v>
      </c>
      <c r="L30" s="37" t="s">
        <v>17</v>
      </c>
    </row>
    <row r="31" spans="1:12">
      <c r="A31" s="36" t="s">
        <v>97</v>
      </c>
      <c r="B31" s="36" t="s">
        <v>98</v>
      </c>
      <c r="C31" s="37" t="s">
        <v>14</v>
      </c>
      <c r="D31" s="37" t="s">
        <v>15</v>
      </c>
      <c r="E31" s="37" t="s">
        <v>16</v>
      </c>
      <c r="F31" s="38">
        <v>46174</v>
      </c>
      <c r="G31" s="39">
        <v>46143</v>
      </c>
      <c r="H31" s="41">
        <v>38.72</v>
      </c>
      <c r="I31" s="41"/>
      <c r="J31" s="39">
        <v>46179</v>
      </c>
      <c r="L31" s="37" t="s">
        <v>17</v>
      </c>
    </row>
    <row r="32" spans="1:12">
      <c r="A32" s="36" t="s">
        <v>99</v>
      </c>
      <c r="B32" s="36" t="s">
        <v>100</v>
      </c>
      <c r="C32" s="37" t="s">
        <v>14</v>
      </c>
      <c r="D32" s="37" t="s">
        <v>15</v>
      </c>
      <c r="E32" s="37" t="s">
        <v>55</v>
      </c>
      <c r="F32" s="38">
        <v>46175</v>
      </c>
      <c r="G32" s="39">
        <v>46149</v>
      </c>
      <c r="H32" s="41">
        <v>109.99</v>
      </c>
      <c r="I32" s="41">
        <v>33.47</v>
      </c>
      <c r="J32" s="39">
        <v>46178</v>
      </c>
      <c r="K32" s="36" t="s">
        <v>101</v>
      </c>
      <c r="L32" s="37" t="s">
        <v>17</v>
      </c>
    </row>
    <row r="33" spans="1:12">
      <c r="A33" s="36" t="s">
        <v>102</v>
      </c>
      <c r="B33" s="36" t="s">
        <v>103</v>
      </c>
      <c r="C33" s="37" t="s">
        <v>14</v>
      </c>
      <c r="D33" s="37" t="s">
        <v>15</v>
      </c>
      <c r="E33" s="37" t="s">
        <v>58</v>
      </c>
      <c r="F33" s="38">
        <v>46175</v>
      </c>
      <c r="G33" s="39">
        <v>46143</v>
      </c>
      <c r="H33" s="41">
        <v>88.89</v>
      </c>
      <c r="I33" s="41">
        <v>44.71</v>
      </c>
      <c r="J33" s="39">
        <v>46179</v>
      </c>
      <c r="K33" s="36" t="s">
        <v>104</v>
      </c>
      <c r="L33" s="37" t="s">
        <v>17</v>
      </c>
    </row>
    <row r="34" spans="1:12">
      <c r="A34" s="36" t="s">
        <v>105</v>
      </c>
      <c r="B34" s="36" t="s">
        <v>106</v>
      </c>
      <c r="C34" s="37" t="s">
        <v>14</v>
      </c>
      <c r="D34" s="37" t="s">
        <v>15</v>
      </c>
      <c r="E34" s="37" t="s">
        <v>16</v>
      </c>
      <c r="F34" s="38">
        <v>46174</v>
      </c>
      <c r="G34" s="39">
        <v>46149</v>
      </c>
      <c r="H34" s="41">
        <v>10.68</v>
      </c>
      <c r="I34" s="41"/>
      <c r="J34" s="39">
        <v>46179</v>
      </c>
      <c r="L34" s="37" t="s">
        <v>17</v>
      </c>
    </row>
    <row r="35" spans="1:12">
      <c r="A35" s="36" t="s">
        <v>107</v>
      </c>
      <c r="B35" s="36" t="s">
        <v>108</v>
      </c>
      <c r="C35" s="37" t="s">
        <v>14</v>
      </c>
      <c r="D35" s="37" t="s">
        <v>15</v>
      </c>
      <c r="E35" s="37" t="s">
        <v>16</v>
      </c>
      <c r="F35" s="38">
        <v>46174</v>
      </c>
      <c r="G35" s="39">
        <v>46149</v>
      </c>
      <c r="H35" s="41">
        <v>21.32</v>
      </c>
      <c r="I35" s="41"/>
      <c r="J35" s="39">
        <v>46179</v>
      </c>
      <c r="L35" s="37" t="s">
        <v>17</v>
      </c>
    </row>
    <row r="36" spans="1:12">
      <c r="A36" s="36" t="s">
        <v>109</v>
      </c>
      <c r="B36" s="36" t="s">
        <v>110</v>
      </c>
      <c r="C36" s="37" t="s">
        <v>14</v>
      </c>
      <c r="D36" s="37" t="s">
        <v>15</v>
      </c>
      <c r="E36" s="37" t="s">
        <v>55</v>
      </c>
      <c r="F36" s="38">
        <v>46174</v>
      </c>
      <c r="G36" s="39">
        <v>46143</v>
      </c>
      <c r="H36" s="41">
        <v>99.99</v>
      </c>
      <c r="I36" s="41">
        <v>42.98</v>
      </c>
      <c r="J36" s="39">
        <v>46177</v>
      </c>
      <c r="K36" s="36" t="s">
        <v>111</v>
      </c>
      <c r="L36" s="37" t="s">
        <v>17</v>
      </c>
    </row>
    <row r="37" spans="1:12">
      <c r="A37" s="36" t="s">
        <v>112</v>
      </c>
      <c r="B37" s="36" t="s">
        <v>113</v>
      </c>
      <c r="C37" s="37" t="s">
        <v>14</v>
      </c>
      <c r="D37" s="37" t="s">
        <v>15</v>
      </c>
      <c r="E37" s="37" t="s">
        <v>80</v>
      </c>
      <c r="F37" s="38">
        <v>46175</v>
      </c>
      <c r="G37" s="39">
        <v>46143</v>
      </c>
      <c r="H37" s="41">
        <v>61.35</v>
      </c>
      <c r="I37" s="41">
        <v>32.64</v>
      </c>
      <c r="J37" s="39">
        <v>46178</v>
      </c>
      <c r="K37" s="36" t="s">
        <v>114</v>
      </c>
      <c r="L37" s="37" t="s">
        <v>17</v>
      </c>
    </row>
    <row r="38" spans="1:12">
      <c r="A38" s="36" t="s">
        <v>115</v>
      </c>
      <c r="B38" s="36" t="s">
        <v>116</v>
      </c>
      <c r="C38" s="37" t="s">
        <v>14</v>
      </c>
      <c r="D38" s="37" t="s">
        <v>15</v>
      </c>
      <c r="E38" s="37" t="s">
        <v>55</v>
      </c>
      <c r="F38" s="38">
        <v>46175</v>
      </c>
      <c r="G38" s="39">
        <v>46143</v>
      </c>
      <c r="H38" s="41">
        <v>109.99</v>
      </c>
      <c r="I38" s="41">
        <v>24.28</v>
      </c>
      <c r="J38" s="39">
        <v>46178</v>
      </c>
      <c r="K38" s="36" t="s">
        <v>117</v>
      </c>
      <c r="L38" s="37" t="s">
        <v>17</v>
      </c>
    </row>
    <row r="39" spans="1:12">
      <c r="A39" s="36" t="s">
        <v>118</v>
      </c>
      <c r="B39" s="36" t="s">
        <v>119</v>
      </c>
      <c r="C39" s="37" t="s">
        <v>14</v>
      </c>
      <c r="D39" s="37" t="s">
        <v>15</v>
      </c>
      <c r="E39" s="37" t="s">
        <v>55</v>
      </c>
      <c r="F39" s="38">
        <v>46175</v>
      </c>
      <c r="G39" s="39">
        <v>46149</v>
      </c>
      <c r="H39" s="41">
        <v>109.99</v>
      </c>
      <c r="I39" s="41">
        <v>22.63</v>
      </c>
      <c r="J39" s="39">
        <v>46179</v>
      </c>
      <c r="K39" s="36" t="s">
        <v>120</v>
      </c>
      <c r="L39" s="37" t="s">
        <v>17</v>
      </c>
    </row>
    <row r="40" spans="1:12">
      <c r="A40" s="36" t="s">
        <v>121</v>
      </c>
      <c r="B40" s="36" t="s">
        <v>122</v>
      </c>
      <c r="C40" s="37" t="s">
        <v>14</v>
      </c>
      <c r="D40" s="37" t="s">
        <v>15</v>
      </c>
      <c r="E40" s="37" t="s">
        <v>58</v>
      </c>
      <c r="F40" s="38">
        <v>46176</v>
      </c>
      <c r="G40" s="39">
        <v>46152</v>
      </c>
      <c r="H40" s="41">
        <v>109.99</v>
      </c>
      <c r="I40" s="41">
        <v>69.7</v>
      </c>
      <c r="J40" s="39">
        <v>46178</v>
      </c>
      <c r="K40" s="36" t="s">
        <v>123</v>
      </c>
      <c r="L40" s="37" t="s">
        <v>17</v>
      </c>
    </row>
    <row r="41" spans="1:12">
      <c r="A41" s="36" t="s">
        <v>124</v>
      </c>
      <c r="B41" s="36" t="s">
        <v>125</v>
      </c>
      <c r="C41" s="37" t="s">
        <v>14</v>
      </c>
      <c r="D41" s="37" t="s">
        <v>15</v>
      </c>
      <c r="E41" s="37" t="s">
        <v>55</v>
      </c>
      <c r="F41" s="38">
        <v>46178</v>
      </c>
      <c r="G41" s="39">
        <v>46152</v>
      </c>
      <c r="H41" s="44">
        <v>109.97</v>
      </c>
      <c r="I41" s="44">
        <v>44.67</v>
      </c>
      <c r="J41" s="39">
        <v>46182</v>
      </c>
      <c r="K41" s="36" t="s">
        <v>126</v>
      </c>
      <c r="L41" s="37" t="s">
        <v>17</v>
      </c>
    </row>
    <row r="42" spans="1:12">
      <c r="A42" s="36" t="s">
        <v>127</v>
      </c>
      <c r="B42" s="36" t="s">
        <v>128</v>
      </c>
      <c r="C42" s="37" t="s">
        <v>14</v>
      </c>
      <c r="D42" s="37" t="s">
        <v>15</v>
      </c>
      <c r="E42" s="37" t="s">
        <v>80</v>
      </c>
      <c r="F42" s="38">
        <v>46181</v>
      </c>
      <c r="G42" s="39">
        <v>46152</v>
      </c>
      <c r="H42" s="44">
        <v>92.3</v>
      </c>
      <c r="I42" s="44">
        <v>30</v>
      </c>
      <c r="J42" s="39">
        <v>46185</v>
      </c>
      <c r="K42" s="36" t="s">
        <v>129</v>
      </c>
      <c r="L42" s="37" t="s">
        <v>17</v>
      </c>
    </row>
    <row r="43" spans="1:12">
      <c r="A43" s="36" t="s">
        <v>130</v>
      </c>
      <c r="B43" s="36" t="s">
        <v>131</v>
      </c>
      <c r="C43" s="37" t="s">
        <v>14</v>
      </c>
      <c r="D43" s="37" t="s">
        <v>15</v>
      </c>
      <c r="E43" s="37" t="s">
        <v>16</v>
      </c>
      <c r="F43" s="38">
        <v>46174</v>
      </c>
      <c r="G43" s="39">
        <v>46152</v>
      </c>
      <c r="H43" s="41">
        <v>28.42</v>
      </c>
      <c r="I43" s="41"/>
      <c r="J43" s="39">
        <v>46181</v>
      </c>
      <c r="L43" s="37" t="s">
        <v>17</v>
      </c>
    </row>
    <row r="44" spans="1:12">
      <c r="A44" s="36" t="s">
        <v>132</v>
      </c>
      <c r="B44" s="36" t="s">
        <v>133</v>
      </c>
      <c r="C44" s="37" t="s">
        <v>14</v>
      </c>
      <c r="D44" s="37" t="s">
        <v>15</v>
      </c>
      <c r="E44" s="37" t="s">
        <v>58</v>
      </c>
      <c r="F44" s="38">
        <v>46176</v>
      </c>
      <c r="G44" s="39">
        <v>46152</v>
      </c>
      <c r="H44" s="44">
        <v>111.48</v>
      </c>
      <c r="I44" s="44">
        <v>41.18</v>
      </c>
      <c r="J44" s="39">
        <v>46178</v>
      </c>
      <c r="K44" s="36" t="s">
        <v>134</v>
      </c>
      <c r="L44" s="37" t="s">
        <v>17</v>
      </c>
    </row>
    <row r="45" spans="1:12">
      <c r="A45" s="36" t="s">
        <v>135</v>
      </c>
      <c r="B45" s="36" t="s">
        <v>136</v>
      </c>
      <c r="C45" s="37" t="s">
        <v>14</v>
      </c>
      <c r="D45" s="37" t="s">
        <v>15</v>
      </c>
      <c r="E45" s="37" t="s">
        <v>58</v>
      </c>
      <c r="F45" s="38">
        <v>46176</v>
      </c>
      <c r="G45" s="39">
        <v>46152</v>
      </c>
      <c r="H45" s="44">
        <v>119.99</v>
      </c>
      <c r="I45" s="44">
        <v>45.06</v>
      </c>
      <c r="J45" s="39">
        <v>46178</v>
      </c>
      <c r="K45" s="36" t="s">
        <v>137</v>
      </c>
      <c r="L45" s="37" t="s">
        <v>17</v>
      </c>
    </row>
    <row r="46" spans="1:12">
      <c r="A46" s="36" t="s">
        <v>138</v>
      </c>
      <c r="B46" s="36" t="s">
        <v>139</v>
      </c>
      <c r="C46" s="37" t="s">
        <v>14</v>
      </c>
      <c r="D46" s="37" t="s">
        <v>15</v>
      </c>
      <c r="E46" s="37" t="s">
        <v>55</v>
      </c>
      <c r="F46" s="38">
        <v>46176</v>
      </c>
      <c r="G46" s="39">
        <v>46152</v>
      </c>
      <c r="H46" s="44">
        <v>109.99</v>
      </c>
      <c r="I46" s="44">
        <v>56.33</v>
      </c>
      <c r="J46" s="39">
        <v>46179</v>
      </c>
      <c r="K46" s="36" t="s">
        <v>140</v>
      </c>
      <c r="L46" s="37" t="s">
        <v>17</v>
      </c>
    </row>
    <row r="47" spans="1:12">
      <c r="A47" s="36" t="s">
        <v>141</v>
      </c>
      <c r="B47" s="36" t="s">
        <v>142</v>
      </c>
      <c r="C47" s="37" t="s">
        <v>14</v>
      </c>
      <c r="D47" s="37" t="s">
        <v>15</v>
      </c>
      <c r="E47" s="37" t="s">
        <v>58</v>
      </c>
      <c r="F47" s="38">
        <v>46178</v>
      </c>
      <c r="G47" s="39">
        <v>46152</v>
      </c>
      <c r="H47" s="44">
        <v>139.99</v>
      </c>
      <c r="I47" s="44">
        <v>55</v>
      </c>
      <c r="J47" s="39">
        <v>46181</v>
      </c>
      <c r="K47" s="36" t="s">
        <v>143</v>
      </c>
      <c r="L47" s="37" t="s">
        <v>17</v>
      </c>
    </row>
    <row r="48" spans="1:12">
      <c r="A48" s="36" t="s">
        <v>144</v>
      </c>
      <c r="B48" s="36" t="s">
        <v>145</v>
      </c>
      <c r="C48" s="37" t="s">
        <v>14</v>
      </c>
      <c r="D48" s="37" t="s">
        <v>15</v>
      </c>
      <c r="E48" s="37" t="s">
        <v>23</v>
      </c>
      <c r="F48" s="38">
        <v>46192</v>
      </c>
      <c r="G48" s="39">
        <v>46152</v>
      </c>
      <c r="H48" s="44">
        <v>109.99</v>
      </c>
      <c r="I48" s="44">
        <v>43.18</v>
      </c>
      <c r="J48" s="39">
        <v>46186</v>
      </c>
      <c r="K48" s="36" t="s">
        <v>146</v>
      </c>
      <c r="L48" s="37" t="s">
        <v>17</v>
      </c>
    </row>
    <row r="49" spans="1:12">
      <c r="A49" s="36" t="s">
        <v>147</v>
      </c>
      <c r="B49" s="36" t="s">
        <v>148</v>
      </c>
      <c r="C49" s="37" t="s">
        <v>14</v>
      </c>
      <c r="D49" s="37" t="s">
        <v>15</v>
      </c>
      <c r="E49" s="37" t="s">
        <v>16</v>
      </c>
      <c r="F49" s="38">
        <v>46174</v>
      </c>
      <c r="G49" s="39">
        <v>46152</v>
      </c>
      <c r="H49" s="41">
        <v>3.58</v>
      </c>
      <c r="I49" s="41"/>
      <c r="J49" s="39">
        <v>46181</v>
      </c>
      <c r="L49" s="37" t="s">
        <v>17</v>
      </c>
    </row>
    <row r="50" spans="1:12">
      <c r="A50" s="36" t="s">
        <v>149</v>
      </c>
      <c r="B50" s="36" t="s">
        <v>150</v>
      </c>
      <c r="C50" s="37" t="s">
        <v>14</v>
      </c>
      <c r="D50" s="37" t="s">
        <v>15</v>
      </c>
      <c r="E50" s="37" t="s">
        <v>55</v>
      </c>
      <c r="F50" s="38">
        <v>46177</v>
      </c>
      <c r="G50" s="39">
        <v>46152</v>
      </c>
      <c r="H50" s="44">
        <v>112.18</v>
      </c>
      <c r="I50" s="44">
        <v>50</v>
      </c>
      <c r="J50" s="39">
        <v>46181</v>
      </c>
      <c r="K50" s="36" t="s">
        <v>151</v>
      </c>
      <c r="L50" s="37" t="s">
        <v>17</v>
      </c>
    </row>
    <row r="51" spans="1:12">
      <c r="A51" s="36" t="s">
        <v>152</v>
      </c>
      <c r="B51" s="36" t="s">
        <v>153</v>
      </c>
      <c r="C51" s="37" t="s">
        <v>14</v>
      </c>
      <c r="D51" s="37" t="s">
        <v>15</v>
      </c>
      <c r="E51" s="37" t="s">
        <v>16</v>
      </c>
      <c r="F51" s="38">
        <v>46174</v>
      </c>
      <c r="G51" s="39">
        <v>46152</v>
      </c>
      <c r="H51" s="41">
        <v>7.11</v>
      </c>
      <c r="I51" s="41"/>
      <c r="J51" s="39">
        <v>46181</v>
      </c>
      <c r="L51" s="37" t="s">
        <v>17</v>
      </c>
    </row>
    <row r="52" spans="1:12">
      <c r="A52" s="36" t="s">
        <v>154</v>
      </c>
      <c r="B52" s="36" t="s">
        <v>155</v>
      </c>
      <c r="C52" s="37" t="s">
        <v>14</v>
      </c>
      <c r="D52" s="37" t="s">
        <v>15</v>
      </c>
      <c r="E52" s="37" t="s">
        <v>55</v>
      </c>
      <c r="F52" s="38">
        <v>46177</v>
      </c>
      <c r="G52" s="39">
        <v>46152</v>
      </c>
      <c r="H52" s="44">
        <v>112.15</v>
      </c>
      <c r="I52" s="44">
        <v>66.650000000000006</v>
      </c>
      <c r="J52" s="39">
        <v>46181</v>
      </c>
      <c r="K52" s="36" t="s">
        <v>156</v>
      </c>
      <c r="L52" s="37" t="s">
        <v>17</v>
      </c>
    </row>
    <row r="53" spans="1:12">
      <c r="A53" s="36" t="s">
        <v>157</v>
      </c>
      <c r="B53" s="36" t="s">
        <v>158</v>
      </c>
      <c r="C53" s="37" t="s">
        <v>14</v>
      </c>
      <c r="D53" s="37" t="s">
        <v>15</v>
      </c>
      <c r="E53" s="37" t="s">
        <v>55</v>
      </c>
      <c r="F53" s="38">
        <v>46176</v>
      </c>
      <c r="G53" s="39">
        <v>46152</v>
      </c>
      <c r="H53" s="44">
        <v>109.99</v>
      </c>
      <c r="I53" s="44">
        <v>31.89</v>
      </c>
      <c r="J53" s="39">
        <v>46179</v>
      </c>
      <c r="K53" s="36" t="s">
        <v>159</v>
      </c>
      <c r="L53" s="37" t="s">
        <v>17</v>
      </c>
    </row>
    <row r="54" spans="1:12">
      <c r="A54" s="36" t="s">
        <v>160</v>
      </c>
      <c r="B54" s="36" t="s">
        <v>161</v>
      </c>
      <c r="C54" s="37" t="s">
        <v>14</v>
      </c>
      <c r="D54" s="37" t="s">
        <v>15</v>
      </c>
      <c r="E54" s="37" t="s">
        <v>55</v>
      </c>
      <c r="F54" s="38">
        <v>46176</v>
      </c>
      <c r="G54" s="39">
        <v>46152</v>
      </c>
      <c r="H54" s="41">
        <v>109.99</v>
      </c>
      <c r="I54" s="41">
        <v>54.09</v>
      </c>
      <c r="J54" s="39">
        <v>46179</v>
      </c>
      <c r="K54" s="36" t="s">
        <v>162</v>
      </c>
      <c r="L54" s="37" t="s">
        <v>17</v>
      </c>
    </row>
    <row r="55" spans="1:12">
      <c r="A55" s="36" t="s">
        <v>154</v>
      </c>
      <c r="B55" s="36" t="s">
        <v>163</v>
      </c>
      <c r="C55" s="37" t="s">
        <v>14</v>
      </c>
      <c r="D55" s="37" t="s">
        <v>15</v>
      </c>
      <c r="E55" s="37" t="s">
        <v>55</v>
      </c>
      <c r="F55" s="38">
        <v>46177</v>
      </c>
      <c r="G55" s="39">
        <v>46152</v>
      </c>
      <c r="H55" s="44">
        <v>109.99</v>
      </c>
      <c r="I55" s="44">
        <v>66.650000000000006</v>
      </c>
      <c r="J55" s="39">
        <v>46181</v>
      </c>
      <c r="K55" s="36" t="s">
        <v>156</v>
      </c>
      <c r="L55" s="37" t="s">
        <v>17</v>
      </c>
    </row>
    <row r="56" spans="1:12">
      <c r="A56" s="36" t="s">
        <v>164</v>
      </c>
      <c r="B56" s="36" t="s">
        <v>165</v>
      </c>
      <c r="C56" s="37" t="s">
        <v>14</v>
      </c>
      <c r="D56" s="37" t="s">
        <v>15</v>
      </c>
      <c r="E56" s="37" t="s">
        <v>55</v>
      </c>
      <c r="F56" s="38">
        <v>46176</v>
      </c>
      <c r="G56" s="39">
        <v>46152</v>
      </c>
      <c r="H56" s="41">
        <v>109.99</v>
      </c>
      <c r="I56" s="41">
        <v>56.82</v>
      </c>
      <c r="J56" s="39">
        <v>46179</v>
      </c>
      <c r="K56" s="36" t="s">
        <v>166</v>
      </c>
      <c r="L56" s="37" t="s">
        <v>17</v>
      </c>
    </row>
    <row r="57" spans="1:12">
      <c r="A57" s="36" t="s">
        <v>167</v>
      </c>
      <c r="B57" s="36" t="s">
        <v>168</v>
      </c>
      <c r="C57" s="37" t="s">
        <v>14</v>
      </c>
      <c r="D57" s="37" t="s">
        <v>15</v>
      </c>
      <c r="E57" s="37" t="s">
        <v>169</v>
      </c>
      <c r="F57" s="38">
        <v>46182</v>
      </c>
      <c r="G57" s="39">
        <v>46152</v>
      </c>
      <c r="H57" s="44">
        <v>129.99</v>
      </c>
      <c r="I57" s="44">
        <v>50</v>
      </c>
      <c r="J57" s="39">
        <v>46185</v>
      </c>
      <c r="K57" s="36" t="s">
        <v>170</v>
      </c>
      <c r="L57" s="37" t="s">
        <v>17</v>
      </c>
    </row>
    <row r="58" spans="1:12">
      <c r="A58" s="36" t="s">
        <v>171</v>
      </c>
      <c r="B58" s="36" t="s">
        <v>172</v>
      </c>
      <c r="C58" s="37" t="s">
        <v>14</v>
      </c>
      <c r="D58" s="37" t="s">
        <v>15</v>
      </c>
      <c r="E58" s="37" t="s">
        <v>55</v>
      </c>
      <c r="F58" s="38">
        <v>46176</v>
      </c>
      <c r="G58" s="39">
        <v>46152</v>
      </c>
      <c r="H58" s="44">
        <v>109.99</v>
      </c>
      <c r="I58" s="44">
        <v>52.72</v>
      </c>
      <c r="J58" s="39">
        <v>46180</v>
      </c>
      <c r="K58" s="36" t="s">
        <v>173</v>
      </c>
      <c r="L58" s="37" t="s">
        <v>17</v>
      </c>
    </row>
    <row r="59" spans="1:12">
      <c r="A59" s="36" t="s">
        <v>174</v>
      </c>
      <c r="B59" s="36" t="s">
        <v>175</v>
      </c>
      <c r="C59" s="37" t="s">
        <v>14</v>
      </c>
      <c r="D59" s="37" t="s">
        <v>15</v>
      </c>
      <c r="E59" s="37" t="s">
        <v>16</v>
      </c>
      <c r="F59" s="38">
        <v>46174</v>
      </c>
      <c r="G59" s="39">
        <v>46152</v>
      </c>
      <c r="H59" s="41">
        <v>3.58</v>
      </c>
      <c r="I59" s="41"/>
      <c r="J59" s="39">
        <v>46181</v>
      </c>
      <c r="L59" s="37" t="s">
        <v>17</v>
      </c>
    </row>
    <row r="60" spans="1:12">
      <c r="A60" s="36" t="s">
        <v>176</v>
      </c>
      <c r="B60" s="36" t="s">
        <v>177</v>
      </c>
      <c r="C60" s="37" t="s">
        <v>14</v>
      </c>
      <c r="D60" s="37" t="s">
        <v>15</v>
      </c>
      <c r="E60" s="37" t="s">
        <v>55</v>
      </c>
      <c r="F60" s="38">
        <v>46176</v>
      </c>
      <c r="G60" s="39">
        <v>46152</v>
      </c>
      <c r="H60" s="44">
        <v>109.99</v>
      </c>
      <c r="I60" s="44">
        <v>46.92</v>
      </c>
      <c r="J60" s="39">
        <v>46181</v>
      </c>
      <c r="K60" s="36" t="s">
        <v>178</v>
      </c>
      <c r="L60" s="37" t="s">
        <v>17</v>
      </c>
    </row>
    <row r="61" spans="1:12">
      <c r="A61" s="36" t="s">
        <v>179</v>
      </c>
      <c r="B61" s="36" t="s">
        <v>180</v>
      </c>
      <c r="C61" s="37" t="s">
        <v>14</v>
      </c>
      <c r="D61" s="37" t="s">
        <v>15</v>
      </c>
      <c r="E61" s="37" t="s">
        <v>58</v>
      </c>
      <c r="F61" s="38">
        <v>46182</v>
      </c>
      <c r="G61" s="39">
        <v>46152</v>
      </c>
      <c r="H61" s="44">
        <v>99.99</v>
      </c>
      <c r="I61" s="44">
        <v>57.68</v>
      </c>
      <c r="J61" s="39">
        <v>46185</v>
      </c>
      <c r="K61" s="36" t="s">
        <v>181</v>
      </c>
      <c r="L61" s="37" t="s">
        <v>17</v>
      </c>
    </row>
    <row r="62" spans="1:12">
      <c r="A62" s="36" t="s">
        <v>182</v>
      </c>
      <c r="B62" s="36" t="s">
        <v>183</v>
      </c>
      <c r="C62" s="37" t="s">
        <v>14</v>
      </c>
      <c r="D62" s="37" t="s">
        <v>15</v>
      </c>
      <c r="E62" s="37" t="s">
        <v>62</v>
      </c>
      <c r="F62" s="38">
        <v>46181</v>
      </c>
      <c r="G62" s="39">
        <v>46152</v>
      </c>
      <c r="H62" s="44">
        <v>119.99</v>
      </c>
      <c r="I62" s="44">
        <v>36</v>
      </c>
      <c r="J62" s="39">
        <v>46184</v>
      </c>
      <c r="K62" s="36" t="s">
        <v>184</v>
      </c>
      <c r="L62" s="37" t="s">
        <v>17</v>
      </c>
    </row>
    <row r="63" spans="1:12">
      <c r="A63" s="36" t="s">
        <v>185</v>
      </c>
      <c r="B63" s="36" t="s">
        <v>186</v>
      </c>
      <c r="C63" s="37" t="s">
        <v>14</v>
      </c>
      <c r="D63" s="37" t="s">
        <v>15</v>
      </c>
      <c r="E63" s="37" t="s">
        <v>187</v>
      </c>
      <c r="F63" s="38">
        <v>46184</v>
      </c>
      <c r="G63" s="39">
        <v>46152</v>
      </c>
      <c r="H63" s="44">
        <v>42.61</v>
      </c>
      <c r="I63" s="44">
        <v>20</v>
      </c>
      <c r="J63" s="39">
        <v>46188</v>
      </c>
      <c r="K63" s="36" t="s">
        <v>188</v>
      </c>
      <c r="L63" s="37" t="s">
        <v>17</v>
      </c>
    </row>
    <row r="64" spans="1:12">
      <c r="A64" s="36" t="s">
        <v>189</v>
      </c>
      <c r="B64" s="36" t="s">
        <v>190</v>
      </c>
      <c r="C64" s="37" t="s">
        <v>14</v>
      </c>
      <c r="D64" s="37" t="s">
        <v>15</v>
      </c>
      <c r="E64" s="37" t="s">
        <v>16</v>
      </c>
      <c r="F64" s="38">
        <v>46174</v>
      </c>
      <c r="G64" s="39">
        <v>46152</v>
      </c>
      <c r="H64" s="41">
        <v>35.51</v>
      </c>
      <c r="I64" s="41"/>
      <c r="J64" s="39">
        <v>46181</v>
      </c>
      <c r="L64" s="37" t="s">
        <v>17</v>
      </c>
    </row>
    <row r="65" spans="1:12">
      <c r="A65" s="36" t="s">
        <v>191</v>
      </c>
      <c r="B65" s="36" t="s">
        <v>192</v>
      </c>
      <c r="C65" s="37" t="s">
        <v>14</v>
      </c>
      <c r="D65" s="37" t="s">
        <v>15</v>
      </c>
      <c r="E65" s="37" t="s">
        <v>23</v>
      </c>
      <c r="F65" s="38">
        <v>46176</v>
      </c>
      <c r="G65" s="39">
        <v>46152</v>
      </c>
      <c r="H65" s="44">
        <v>109.99</v>
      </c>
      <c r="I65" s="44">
        <v>55.76</v>
      </c>
      <c r="J65" s="39">
        <v>46181</v>
      </c>
      <c r="K65" s="36" t="s">
        <v>193</v>
      </c>
      <c r="L65" s="37" t="s">
        <v>17</v>
      </c>
    </row>
    <row r="66" spans="1:12">
      <c r="A66" s="36" t="s">
        <v>194</v>
      </c>
      <c r="B66" s="36" t="s">
        <v>195</v>
      </c>
      <c r="C66" s="37" t="s">
        <v>14</v>
      </c>
      <c r="D66" s="37" t="s">
        <v>15</v>
      </c>
      <c r="E66" s="37" t="s">
        <v>62</v>
      </c>
      <c r="F66" s="38">
        <v>46192</v>
      </c>
      <c r="G66" s="39">
        <v>46152</v>
      </c>
      <c r="H66" s="44">
        <v>109.99</v>
      </c>
      <c r="I66" s="44">
        <v>23.69</v>
      </c>
      <c r="J66" s="39">
        <v>46184</v>
      </c>
      <c r="K66" s="36" t="s">
        <v>196</v>
      </c>
      <c r="L66" s="37" t="s">
        <v>17</v>
      </c>
    </row>
    <row r="67" spans="1:12">
      <c r="A67" s="36" t="s">
        <v>197</v>
      </c>
      <c r="B67" s="36" t="s">
        <v>198</v>
      </c>
      <c r="C67" s="37" t="s">
        <v>14</v>
      </c>
      <c r="D67" s="37" t="s">
        <v>15</v>
      </c>
      <c r="E67" s="37" t="s">
        <v>80</v>
      </c>
      <c r="F67" s="38">
        <v>46178</v>
      </c>
      <c r="G67" s="39">
        <v>46152</v>
      </c>
      <c r="H67" s="44">
        <v>111.37</v>
      </c>
      <c r="I67" s="44">
        <v>55</v>
      </c>
      <c r="J67" s="39">
        <v>46182</v>
      </c>
      <c r="K67" s="36" t="s">
        <v>199</v>
      </c>
      <c r="L67" s="37" t="s">
        <v>17</v>
      </c>
    </row>
    <row r="68" spans="1:12">
      <c r="A68" s="36" t="s">
        <v>200</v>
      </c>
      <c r="B68" s="36" t="s">
        <v>201</v>
      </c>
      <c r="C68" s="37" t="s">
        <v>14</v>
      </c>
      <c r="D68" s="37" t="s">
        <v>15</v>
      </c>
      <c r="E68" s="37" t="s">
        <v>23</v>
      </c>
      <c r="F68" s="38">
        <v>46182</v>
      </c>
      <c r="G68" s="39">
        <v>46152</v>
      </c>
      <c r="H68" s="44">
        <v>109.99</v>
      </c>
      <c r="I68" s="44">
        <v>30</v>
      </c>
      <c r="J68" s="39">
        <v>46185</v>
      </c>
      <c r="K68" s="36" t="s">
        <v>202</v>
      </c>
      <c r="L68" s="37" t="s">
        <v>17</v>
      </c>
    </row>
    <row r="69" spans="1:12">
      <c r="A69" s="36" t="s">
        <v>203</v>
      </c>
      <c r="B69" s="36" t="s">
        <v>204</v>
      </c>
      <c r="C69" s="37" t="s">
        <v>14</v>
      </c>
      <c r="D69" s="37" t="s">
        <v>15</v>
      </c>
      <c r="E69" s="37" t="s">
        <v>58</v>
      </c>
      <c r="F69" s="38">
        <v>46176</v>
      </c>
      <c r="G69" s="39">
        <v>46152</v>
      </c>
      <c r="H69" s="41">
        <v>99.99</v>
      </c>
      <c r="I69" s="41">
        <v>40.549999999999997</v>
      </c>
      <c r="J69" s="39">
        <v>46178</v>
      </c>
      <c r="K69" s="36" t="s">
        <v>205</v>
      </c>
      <c r="L69" s="37" t="s">
        <v>17</v>
      </c>
    </row>
    <row r="70" spans="1:12">
      <c r="A70" s="36" t="s">
        <v>206</v>
      </c>
      <c r="B70" s="36" t="s">
        <v>207</v>
      </c>
      <c r="C70" s="37" t="s">
        <v>14</v>
      </c>
      <c r="D70" s="37" t="s">
        <v>15</v>
      </c>
      <c r="E70" s="37" t="s">
        <v>16</v>
      </c>
      <c r="F70" s="38">
        <v>46174</v>
      </c>
      <c r="G70" s="39">
        <v>46152</v>
      </c>
      <c r="H70" s="41">
        <v>7.11</v>
      </c>
      <c r="I70" s="41"/>
      <c r="J70" s="39">
        <v>46181</v>
      </c>
      <c r="L70" s="37" t="s">
        <v>17</v>
      </c>
    </row>
    <row r="71" spans="1:12">
      <c r="A71" s="36" t="s">
        <v>208</v>
      </c>
      <c r="B71" s="36" t="s">
        <v>209</v>
      </c>
      <c r="C71" s="37" t="s">
        <v>14</v>
      </c>
      <c r="D71" s="37" t="s">
        <v>15</v>
      </c>
      <c r="E71" s="37" t="s">
        <v>23</v>
      </c>
      <c r="F71" s="38">
        <v>46178</v>
      </c>
      <c r="G71" s="39">
        <v>46152</v>
      </c>
      <c r="H71" s="44">
        <v>109.99</v>
      </c>
      <c r="I71" s="44">
        <v>44.72</v>
      </c>
      <c r="J71" s="39">
        <v>46183</v>
      </c>
      <c r="K71" s="36" t="s">
        <v>210</v>
      </c>
      <c r="L71" s="37" t="s">
        <v>17</v>
      </c>
    </row>
    <row r="72" spans="1:12">
      <c r="A72" s="36" t="s">
        <v>211</v>
      </c>
      <c r="B72" s="36" t="s">
        <v>212</v>
      </c>
      <c r="C72" s="37" t="s">
        <v>14</v>
      </c>
      <c r="D72" s="37" t="s">
        <v>15</v>
      </c>
      <c r="E72" s="37" t="s">
        <v>16</v>
      </c>
      <c r="F72" s="38">
        <v>46174</v>
      </c>
      <c r="G72" s="39">
        <v>46152</v>
      </c>
      <c r="H72" s="41">
        <v>3.58</v>
      </c>
      <c r="I72" s="41"/>
      <c r="J72" s="39">
        <v>46181</v>
      </c>
      <c r="L72" s="37" t="s">
        <v>17</v>
      </c>
    </row>
    <row r="73" spans="1:12">
      <c r="A73" s="36" t="s">
        <v>213</v>
      </c>
      <c r="B73" s="36" t="s">
        <v>214</v>
      </c>
      <c r="C73" s="37" t="s">
        <v>14</v>
      </c>
      <c r="D73" s="37" t="s">
        <v>15</v>
      </c>
      <c r="E73" s="37" t="s">
        <v>23</v>
      </c>
      <c r="F73" s="38">
        <v>46183</v>
      </c>
      <c r="G73" s="39">
        <v>46152</v>
      </c>
      <c r="H73" s="44">
        <v>73.7</v>
      </c>
      <c r="I73" s="44">
        <v>30.89</v>
      </c>
      <c r="J73" s="39">
        <v>46188</v>
      </c>
      <c r="K73" s="36" t="s">
        <v>215</v>
      </c>
      <c r="L73" s="37" t="s">
        <v>17</v>
      </c>
    </row>
    <row r="74" spans="1:12">
      <c r="A74" s="36" t="s">
        <v>216</v>
      </c>
      <c r="B74" s="36" t="s">
        <v>217</v>
      </c>
      <c r="C74" s="37" t="s">
        <v>14</v>
      </c>
      <c r="D74" s="37" t="s">
        <v>15</v>
      </c>
      <c r="E74" s="37" t="s">
        <v>23</v>
      </c>
      <c r="F74" s="38">
        <v>46181</v>
      </c>
      <c r="G74" s="39">
        <v>46152</v>
      </c>
      <c r="H74" s="44">
        <v>92.3</v>
      </c>
      <c r="I74" s="44">
        <v>41.01</v>
      </c>
      <c r="J74" s="39">
        <v>46184</v>
      </c>
      <c r="K74" s="36" t="s">
        <v>218</v>
      </c>
      <c r="L74" s="37" t="s">
        <v>17</v>
      </c>
    </row>
    <row r="75" spans="1:12">
      <c r="A75" s="36" t="s">
        <v>219</v>
      </c>
      <c r="B75" s="36" t="s">
        <v>220</v>
      </c>
      <c r="C75" s="37" t="s">
        <v>14</v>
      </c>
      <c r="D75" s="37" t="s">
        <v>15</v>
      </c>
      <c r="E75" s="37" t="s">
        <v>55</v>
      </c>
      <c r="F75" s="38">
        <v>46183</v>
      </c>
      <c r="G75" s="39">
        <v>46152</v>
      </c>
      <c r="H75" s="44">
        <v>99.99</v>
      </c>
      <c r="I75" s="44">
        <v>20.3</v>
      </c>
      <c r="J75" s="39">
        <v>46186</v>
      </c>
      <c r="K75" s="36" t="s">
        <v>221</v>
      </c>
      <c r="L75" s="37" t="s">
        <v>17</v>
      </c>
    </row>
    <row r="76" spans="1:12">
      <c r="A76" s="36" t="s">
        <v>222</v>
      </c>
      <c r="B76" s="36" t="s">
        <v>223</v>
      </c>
      <c r="C76" s="37" t="s">
        <v>14</v>
      </c>
      <c r="D76" s="37" t="s">
        <v>15</v>
      </c>
      <c r="E76" s="37" t="s">
        <v>16</v>
      </c>
      <c r="F76" s="38">
        <v>46174</v>
      </c>
      <c r="G76" s="39">
        <v>46152</v>
      </c>
      <c r="H76" s="41">
        <v>3.58</v>
      </c>
      <c r="I76" s="41"/>
      <c r="J76" s="39">
        <v>46181</v>
      </c>
      <c r="L76" s="37" t="s">
        <v>17</v>
      </c>
    </row>
    <row r="77" spans="1:12">
      <c r="A77" s="36" t="s">
        <v>224</v>
      </c>
      <c r="B77" s="36" t="s">
        <v>225</v>
      </c>
      <c r="C77" s="37" t="s">
        <v>14</v>
      </c>
      <c r="D77" s="37" t="s">
        <v>15</v>
      </c>
      <c r="E77" s="37" t="s">
        <v>58</v>
      </c>
      <c r="F77" s="38">
        <v>46183</v>
      </c>
      <c r="G77" s="39">
        <v>46152</v>
      </c>
      <c r="H77" s="44">
        <v>109.99</v>
      </c>
      <c r="I77" s="44">
        <v>44.66</v>
      </c>
      <c r="J77" s="39">
        <v>46188</v>
      </c>
      <c r="K77" s="36" t="s">
        <v>226</v>
      </c>
      <c r="L77" s="37" t="s">
        <v>17</v>
      </c>
    </row>
    <row r="78" spans="1:12">
      <c r="A78" s="36" t="s">
        <v>227</v>
      </c>
      <c r="B78" s="36" t="s">
        <v>228</v>
      </c>
      <c r="C78" s="37" t="s">
        <v>14</v>
      </c>
      <c r="D78" s="37" t="s">
        <v>15</v>
      </c>
      <c r="E78" s="37" t="s">
        <v>55</v>
      </c>
      <c r="F78" s="38">
        <v>46176</v>
      </c>
      <c r="G78" s="39">
        <v>46152</v>
      </c>
      <c r="H78" s="44">
        <v>99.99</v>
      </c>
      <c r="I78" s="44">
        <v>41.31</v>
      </c>
      <c r="J78" s="39">
        <v>46181</v>
      </c>
      <c r="K78" s="36" t="s">
        <v>229</v>
      </c>
      <c r="L78" s="37" t="s">
        <v>17</v>
      </c>
    </row>
    <row r="79" spans="1:12">
      <c r="A79" s="36" t="s">
        <v>230</v>
      </c>
      <c r="B79" s="36" t="s">
        <v>231</v>
      </c>
      <c r="C79" s="37" t="s">
        <v>14</v>
      </c>
      <c r="D79" s="37" t="s">
        <v>15</v>
      </c>
      <c r="E79" s="37" t="s">
        <v>16</v>
      </c>
      <c r="F79" s="38">
        <v>46174</v>
      </c>
      <c r="G79" s="39">
        <v>46152</v>
      </c>
      <c r="H79" s="41">
        <v>16.8</v>
      </c>
      <c r="I79" s="41"/>
      <c r="J79" s="39">
        <v>46181</v>
      </c>
      <c r="L79" s="37" t="s">
        <v>17</v>
      </c>
    </row>
    <row r="80" spans="1:12">
      <c r="A80" s="36" t="s">
        <v>232</v>
      </c>
      <c r="B80" s="36" t="s">
        <v>233</v>
      </c>
      <c r="C80" s="37" t="s">
        <v>14</v>
      </c>
      <c r="D80" s="37" t="s">
        <v>15</v>
      </c>
      <c r="E80" s="37" t="s">
        <v>23</v>
      </c>
      <c r="F80" s="38">
        <v>46182</v>
      </c>
      <c r="G80" s="39">
        <v>46152</v>
      </c>
      <c r="H80" s="44">
        <v>109.99</v>
      </c>
      <c r="I80" s="44">
        <v>44.65</v>
      </c>
      <c r="J80" s="39">
        <v>46185</v>
      </c>
      <c r="K80" s="36" t="s">
        <v>234</v>
      </c>
      <c r="L80" s="37" t="s">
        <v>17</v>
      </c>
    </row>
    <row r="81" spans="1:12">
      <c r="A81" s="36" t="s">
        <v>235</v>
      </c>
      <c r="B81" s="36" t="s">
        <v>236</v>
      </c>
      <c r="C81" s="37" t="s">
        <v>14</v>
      </c>
      <c r="D81" s="37" t="s">
        <v>15</v>
      </c>
      <c r="E81" s="37" t="s">
        <v>55</v>
      </c>
      <c r="F81" s="38">
        <v>46176</v>
      </c>
      <c r="G81" s="39">
        <v>46152</v>
      </c>
      <c r="H81" s="41">
        <v>169.99</v>
      </c>
      <c r="I81" s="41">
        <v>77.63</v>
      </c>
      <c r="J81" s="39">
        <v>46179</v>
      </c>
      <c r="K81" s="36" t="s">
        <v>237</v>
      </c>
      <c r="L81" s="37" t="s">
        <v>17</v>
      </c>
    </row>
    <row r="82" spans="1:12">
      <c r="A82" s="36" t="s">
        <v>238</v>
      </c>
      <c r="B82" s="36" t="s">
        <v>239</v>
      </c>
      <c r="C82" s="37" t="s">
        <v>14</v>
      </c>
      <c r="D82" s="37" t="s">
        <v>15</v>
      </c>
      <c r="E82" s="37" t="s">
        <v>187</v>
      </c>
      <c r="F82" s="38">
        <v>46182</v>
      </c>
      <c r="G82" s="39">
        <v>46152</v>
      </c>
      <c r="H82" s="44">
        <v>109.99</v>
      </c>
      <c r="I82" s="44">
        <v>44.75</v>
      </c>
      <c r="J82" s="39">
        <v>46183</v>
      </c>
      <c r="K82" s="36" t="s">
        <v>240</v>
      </c>
      <c r="L82" s="37" t="s">
        <v>17</v>
      </c>
    </row>
    <row r="83" spans="1:12">
      <c r="A83" s="36" t="s">
        <v>241</v>
      </c>
      <c r="B83" s="36" t="s">
        <v>242</v>
      </c>
      <c r="C83" s="37" t="s">
        <v>14</v>
      </c>
      <c r="D83" s="37" t="s">
        <v>15</v>
      </c>
      <c r="E83" s="37" t="s">
        <v>80</v>
      </c>
      <c r="F83" s="38">
        <v>46181</v>
      </c>
      <c r="G83" s="39">
        <v>46152</v>
      </c>
      <c r="H83" s="44">
        <v>42.61</v>
      </c>
      <c r="I83" s="44">
        <v>20</v>
      </c>
      <c r="J83" s="39">
        <v>46185</v>
      </c>
      <c r="K83" s="36" t="s">
        <v>243</v>
      </c>
      <c r="L83" s="37" t="s">
        <v>17</v>
      </c>
    </row>
    <row r="84" spans="1:12">
      <c r="A84" s="36" t="s">
        <v>244</v>
      </c>
      <c r="B84" s="36" t="s">
        <v>245</v>
      </c>
      <c r="C84" s="37" t="s">
        <v>14</v>
      </c>
      <c r="D84" s="37" t="s">
        <v>15</v>
      </c>
      <c r="E84" s="37" t="s">
        <v>80</v>
      </c>
      <c r="F84" s="38">
        <v>46176</v>
      </c>
      <c r="G84" s="39">
        <v>46152</v>
      </c>
      <c r="H84" s="44">
        <v>119.99</v>
      </c>
      <c r="I84" s="44">
        <v>71.349999999999994</v>
      </c>
      <c r="J84" s="39">
        <v>46179</v>
      </c>
      <c r="K84" s="36" t="s">
        <v>246</v>
      </c>
      <c r="L84" s="37" t="s">
        <v>17</v>
      </c>
    </row>
    <row r="85" spans="1:12">
      <c r="A85" s="36" t="s">
        <v>247</v>
      </c>
      <c r="B85" s="36" t="s">
        <v>248</v>
      </c>
      <c r="C85" s="37" t="s">
        <v>14</v>
      </c>
      <c r="D85" s="37" t="s">
        <v>15</v>
      </c>
      <c r="E85" s="37" t="s">
        <v>16</v>
      </c>
      <c r="F85" s="38">
        <v>46174</v>
      </c>
      <c r="G85" s="39">
        <v>46152</v>
      </c>
      <c r="H85" s="41">
        <v>14.22</v>
      </c>
      <c r="I85" s="41"/>
      <c r="J85" s="39">
        <v>46181</v>
      </c>
      <c r="L85" s="37" t="s">
        <v>17</v>
      </c>
    </row>
    <row r="86" spans="1:12">
      <c r="A86" s="36" t="s">
        <v>249</v>
      </c>
      <c r="B86" s="36" t="s">
        <v>250</v>
      </c>
      <c r="C86" s="37" t="s">
        <v>14</v>
      </c>
      <c r="D86" s="37" t="s">
        <v>15</v>
      </c>
      <c r="E86" s="37" t="s">
        <v>16</v>
      </c>
      <c r="F86" s="38">
        <v>46174</v>
      </c>
      <c r="G86" s="39">
        <v>46152</v>
      </c>
      <c r="H86" s="41">
        <v>3.54</v>
      </c>
      <c r="I86" s="41"/>
      <c r="J86" s="39">
        <v>46181</v>
      </c>
      <c r="L86" s="37" t="s">
        <v>17</v>
      </c>
    </row>
    <row r="87" spans="1:12">
      <c r="A87" s="36" t="s">
        <v>251</v>
      </c>
      <c r="B87" s="36" t="s">
        <v>252</v>
      </c>
      <c r="C87" s="37" t="s">
        <v>14</v>
      </c>
      <c r="D87" s="37" t="s">
        <v>15</v>
      </c>
      <c r="E87" s="37" t="s">
        <v>16</v>
      </c>
      <c r="F87" s="38">
        <v>46174</v>
      </c>
      <c r="G87" s="39">
        <v>46152</v>
      </c>
      <c r="H87" s="41">
        <v>3.58</v>
      </c>
      <c r="I87" s="41"/>
      <c r="J87" s="39">
        <v>46181</v>
      </c>
      <c r="L87" s="37" t="s">
        <v>17</v>
      </c>
    </row>
    <row r="88" spans="1:12">
      <c r="A88" s="36" t="s">
        <v>253</v>
      </c>
      <c r="B88" s="36" t="s">
        <v>254</v>
      </c>
      <c r="C88" s="37" t="s">
        <v>14</v>
      </c>
      <c r="D88" s="37" t="s">
        <v>15</v>
      </c>
      <c r="E88" s="37" t="s">
        <v>16</v>
      </c>
      <c r="F88" s="38">
        <v>46174</v>
      </c>
      <c r="G88" s="39">
        <v>46152</v>
      </c>
      <c r="H88" s="41">
        <v>7.11</v>
      </c>
      <c r="I88" s="41"/>
      <c r="J88" s="39">
        <v>46181</v>
      </c>
      <c r="L88" s="37" t="s">
        <v>17</v>
      </c>
    </row>
    <row r="89" spans="1:12">
      <c r="A89" s="36" t="s">
        <v>255</v>
      </c>
      <c r="B89" s="36" t="s">
        <v>256</v>
      </c>
      <c r="C89" s="37" t="s">
        <v>14</v>
      </c>
      <c r="D89" s="37" t="s">
        <v>15</v>
      </c>
      <c r="E89" s="37" t="s">
        <v>58</v>
      </c>
      <c r="F89" s="38">
        <v>46176</v>
      </c>
      <c r="G89" s="39">
        <v>46152</v>
      </c>
      <c r="H89" s="41">
        <v>109.99</v>
      </c>
      <c r="I89" s="41">
        <v>42</v>
      </c>
      <c r="J89" s="39">
        <v>46178</v>
      </c>
      <c r="K89" s="36" t="s">
        <v>257</v>
      </c>
      <c r="L89" s="37" t="s">
        <v>17</v>
      </c>
    </row>
    <row r="90" spans="1:12">
      <c r="A90" s="36" t="s">
        <v>258</v>
      </c>
      <c r="B90" s="36" t="s">
        <v>259</v>
      </c>
      <c r="C90" s="37" t="s">
        <v>14</v>
      </c>
      <c r="D90" s="37" t="s">
        <v>15</v>
      </c>
      <c r="E90" s="37" t="s">
        <v>62</v>
      </c>
      <c r="F90" s="38">
        <v>46181</v>
      </c>
      <c r="G90" s="39">
        <v>46152</v>
      </c>
      <c r="H90" s="41">
        <v>67.44</v>
      </c>
      <c r="I90" s="41">
        <v>13.86</v>
      </c>
      <c r="J90" s="39">
        <v>46185</v>
      </c>
      <c r="K90" s="36" t="s">
        <v>260</v>
      </c>
      <c r="L90" s="37" t="s">
        <v>17</v>
      </c>
    </row>
    <row r="91" spans="1:12">
      <c r="A91" s="36" t="s">
        <v>261</v>
      </c>
      <c r="B91" s="36" t="s">
        <v>262</v>
      </c>
      <c r="C91" s="37" t="s">
        <v>14</v>
      </c>
      <c r="D91" s="37" t="s">
        <v>15</v>
      </c>
      <c r="E91" s="37" t="s">
        <v>58</v>
      </c>
      <c r="F91" s="38">
        <v>46182</v>
      </c>
      <c r="G91" s="39">
        <v>46152</v>
      </c>
      <c r="H91" s="41">
        <v>78.099999999999994</v>
      </c>
      <c r="I91" s="41">
        <v>28.56</v>
      </c>
      <c r="J91" s="39">
        <v>46186</v>
      </c>
      <c r="K91" s="36" t="s">
        <v>263</v>
      </c>
      <c r="L91" s="37" t="s">
        <v>17</v>
      </c>
    </row>
    <row r="92" spans="1:12">
      <c r="A92" s="36" t="s">
        <v>264</v>
      </c>
      <c r="B92" s="36" t="s">
        <v>265</v>
      </c>
      <c r="C92" s="37" t="s">
        <v>14</v>
      </c>
      <c r="D92" s="37" t="s">
        <v>15</v>
      </c>
      <c r="E92" s="37" t="s">
        <v>80</v>
      </c>
      <c r="F92" s="38">
        <v>46178</v>
      </c>
      <c r="G92" s="39">
        <v>46152</v>
      </c>
      <c r="H92" s="41">
        <v>60.37</v>
      </c>
      <c r="I92" s="41">
        <v>30</v>
      </c>
      <c r="J92" s="39">
        <v>46182</v>
      </c>
      <c r="K92" s="36" t="s">
        <v>266</v>
      </c>
      <c r="L92" s="37" t="s">
        <v>17</v>
      </c>
    </row>
    <row r="93" spans="1:12">
      <c r="A93" s="36" t="s">
        <v>267</v>
      </c>
      <c r="B93" s="36" t="s">
        <v>268</v>
      </c>
      <c r="C93" s="37" t="s">
        <v>14</v>
      </c>
      <c r="D93" s="37" t="s">
        <v>15</v>
      </c>
      <c r="E93" s="37" t="s">
        <v>80</v>
      </c>
      <c r="F93" s="38">
        <v>46176</v>
      </c>
      <c r="G93" s="39">
        <v>46152</v>
      </c>
      <c r="H93" s="41">
        <v>109.87</v>
      </c>
      <c r="I93" s="41">
        <v>52.88</v>
      </c>
      <c r="J93" s="39">
        <v>46181</v>
      </c>
      <c r="K93" s="36" t="s">
        <v>269</v>
      </c>
      <c r="L93" s="37" t="s">
        <v>17</v>
      </c>
    </row>
    <row r="94" spans="1:12">
      <c r="A94" s="36" t="s">
        <v>270</v>
      </c>
      <c r="B94" s="36" t="s">
        <v>271</v>
      </c>
      <c r="C94" s="37" t="s">
        <v>14</v>
      </c>
      <c r="D94" s="37" t="s">
        <v>15</v>
      </c>
      <c r="E94" s="37" t="s">
        <v>62</v>
      </c>
      <c r="F94" s="38">
        <v>46176</v>
      </c>
      <c r="G94" s="39">
        <v>46152</v>
      </c>
      <c r="H94" s="41">
        <v>125.83</v>
      </c>
      <c r="I94" s="41">
        <v>38.9</v>
      </c>
      <c r="J94" s="39">
        <v>46179</v>
      </c>
      <c r="K94" s="36" t="s">
        <v>272</v>
      </c>
      <c r="L94" s="37" t="s">
        <v>17</v>
      </c>
    </row>
    <row r="95" spans="1:12">
      <c r="A95" s="36" t="s">
        <v>273</v>
      </c>
      <c r="B95" s="36" t="s">
        <v>274</v>
      </c>
      <c r="C95" s="37" t="s">
        <v>14</v>
      </c>
      <c r="D95" s="37" t="s">
        <v>15</v>
      </c>
      <c r="E95" s="37" t="s">
        <v>55</v>
      </c>
      <c r="F95" s="38">
        <v>46177</v>
      </c>
      <c r="G95" s="39">
        <v>46152</v>
      </c>
      <c r="H95" s="41">
        <v>99.99</v>
      </c>
      <c r="I95" s="41">
        <v>57.2</v>
      </c>
      <c r="J95" s="39">
        <v>46181</v>
      </c>
      <c r="K95" s="36" t="s">
        <v>275</v>
      </c>
      <c r="L95" s="37" t="s">
        <v>17</v>
      </c>
    </row>
    <row r="96" spans="1:12">
      <c r="A96" s="36" t="s">
        <v>276</v>
      </c>
      <c r="B96" s="36" t="s">
        <v>277</v>
      </c>
      <c r="C96" s="37" t="s">
        <v>14</v>
      </c>
      <c r="D96" s="37" t="s">
        <v>15</v>
      </c>
      <c r="E96" s="37" t="s">
        <v>16</v>
      </c>
      <c r="F96" s="38">
        <v>46174</v>
      </c>
      <c r="G96" s="39">
        <v>46152</v>
      </c>
      <c r="H96" s="41">
        <v>7.73</v>
      </c>
      <c r="I96" s="41"/>
      <c r="J96" s="39">
        <v>46181</v>
      </c>
      <c r="L96" s="37" t="s">
        <v>17</v>
      </c>
    </row>
    <row r="97" spans="1:12">
      <c r="A97" s="36" t="s">
        <v>278</v>
      </c>
      <c r="B97" s="36" t="s">
        <v>279</v>
      </c>
      <c r="C97" s="37" t="s">
        <v>14</v>
      </c>
      <c r="D97" s="37" t="s">
        <v>15</v>
      </c>
      <c r="E97" s="37" t="s">
        <v>23</v>
      </c>
      <c r="F97" s="38">
        <v>46176</v>
      </c>
      <c r="G97" s="39">
        <v>46152</v>
      </c>
      <c r="H97" s="41">
        <v>149.99</v>
      </c>
      <c r="I97" s="41">
        <v>50</v>
      </c>
      <c r="J97" s="39">
        <v>46178</v>
      </c>
      <c r="K97" s="36" t="s">
        <v>280</v>
      </c>
      <c r="L97" s="37" t="s">
        <v>17</v>
      </c>
    </row>
    <row r="98" spans="1:12">
      <c r="A98" s="36" t="s">
        <v>281</v>
      </c>
      <c r="B98" s="36" t="s">
        <v>282</v>
      </c>
      <c r="C98" s="37" t="s">
        <v>14</v>
      </c>
      <c r="D98" s="37" t="s">
        <v>15</v>
      </c>
      <c r="E98" s="37" t="s">
        <v>62</v>
      </c>
      <c r="F98" s="38">
        <v>46178</v>
      </c>
      <c r="G98" s="39">
        <v>46152</v>
      </c>
      <c r="H98" s="41">
        <v>78.099999999999994</v>
      </c>
      <c r="I98" s="41">
        <v>40</v>
      </c>
      <c r="J98" s="39">
        <v>46183</v>
      </c>
      <c r="K98" s="36" t="s">
        <v>283</v>
      </c>
      <c r="L98" s="37" t="s">
        <v>17</v>
      </c>
    </row>
    <row r="99" spans="1:12">
      <c r="A99" s="36" t="s">
        <v>284</v>
      </c>
      <c r="B99" s="36" t="s">
        <v>285</v>
      </c>
      <c r="C99" s="37" t="s">
        <v>14</v>
      </c>
      <c r="D99" s="37" t="s">
        <v>15</v>
      </c>
      <c r="E99" s="37" t="s">
        <v>16</v>
      </c>
      <c r="F99" s="38">
        <v>46174</v>
      </c>
      <c r="G99" s="39">
        <v>46152</v>
      </c>
      <c r="H99" s="41">
        <v>3.58</v>
      </c>
      <c r="I99" s="41"/>
      <c r="J99" s="39">
        <v>46181</v>
      </c>
      <c r="L99" s="37" t="s">
        <v>17</v>
      </c>
    </row>
    <row r="100" spans="1:12">
      <c r="A100" s="36" t="s">
        <v>286</v>
      </c>
      <c r="B100" s="36" t="s">
        <v>287</v>
      </c>
      <c r="C100" s="37" t="s">
        <v>14</v>
      </c>
      <c r="D100" s="37" t="s">
        <v>15</v>
      </c>
      <c r="E100" s="37" t="s">
        <v>23</v>
      </c>
      <c r="F100" s="38">
        <v>46177</v>
      </c>
      <c r="G100" s="39">
        <v>46152</v>
      </c>
      <c r="H100" s="41">
        <v>119.99</v>
      </c>
      <c r="I100" s="41">
        <v>40</v>
      </c>
      <c r="J100" s="39">
        <v>46180</v>
      </c>
      <c r="K100" s="36" t="s">
        <v>288</v>
      </c>
      <c r="L100" s="37" t="s">
        <v>17</v>
      </c>
    </row>
    <row r="101" spans="1:12">
      <c r="A101" s="36" t="s">
        <v>289</v>
      </c>
      <c r="B101" s="36" t="s">
        <v>290</v>
      </c>
      <c r="C101" s="37" t="s">
        <v>14</v>
      </c>
      <c r="D101" s="37" t="s">
        <v>15</v>
      </c>
      <c r="E101" s="37" t="s">
        <v>55</v>
      </c>
      <c r="F101" s="38">
        <v>46177</v>
      </c>
      <c r="G101" s="39">
        <v>46152</v>
      </c>
      <c r="H101" s="41">
        <v>99.99</v>
      </c>
      <c r="I101" s="41">
        <v>49.11</v>
      </c>
      <c r="J101" s="39">
        <v>46182</v>
      </c>
      <c r="K101" s="36" t="s">
        <v>291</v>
      </c>
      <c r="L101" s="37" t="s">
        <v>17</v>
      </c>
    </row>
    <row r="102" spans="1:12">
      <c r="A102" s="36" t="s">
        <v>292</v>
      </c>
      <c r="B102" s="36" t="s">
        <v>293</v>
      </c>
      <c r="C102" s="37" t="s">
        <v>14</v>
      </c>
      <c r="D102" s="37" t="s">
        <v>15</v>
      </c>
      <c r="E102" s="37" t="s">
        <v>62</v>
      </c>
      <c r="F102" s="38">
        <v>46176</v>
      </c>
      <c r="G102" s="39">
        <v>46152</v>
      </c>
      <c r="H102" s="41">
        <v>67.44</v>
      </c>
      <c r="I102" s="41">
        <v>20</v>
      </c>
      <c r="J102" s="39">
        <v>46179</v>
      </c>
      <c r="K102" s="36" t="s">
        <v>294</v>
      </c>
      <c r="L102" s="37" t="s">
        <v>17</v>
      </c>
    </row>
    <row r="103" spans="1:12">
      <c r="A103" s="36" t="s">
        <v>295</v>
      </c>
      <c r="B103" s="36" t="s">
        <v>296</v>
      </c>
      <c r="C103" s="37" t="s">
        <v>14</v>
      </c>
      <c r="D103" s="37" t="s">
        <v>15</v>
      </c>
      <c r="E103" s="37" t="s">
        <v>55</v>
      </c>
      <c r="F103" s="38">
        <v>46182</v>
      </c>
      <c r="G103" s="39">
        <v>46152</v>
      </c>
      <c r="H103" s="41">
        <v>67.44</v>
      </c>
      <c r="I103" s="41">
        <v>35.89</v>
      </c>
      <c r="J103" s="39">
        <v>46185</v>
      </c>
      <c r="K103" s="36" t="s">
        <v>297</v>
      </c>
      <c r="L103" s="37" t="s">
        <v>17</v>
      </c>
    </row>
    <row r="104" spans="1:12">
      <c r="A104" s="36" t="s">
        <v>298</v>
      </c>
      <c r="B104" s="36" t="s">
        <v>299</v>
      </c>
      <c r="C104" s="37" t="s">
        <v>14</v>
      </c>
      <c r="D104" s="37" t="s">
        <v>15</v>
      </c>
      <c r="E104" s="37" t="s">
        <v>55</v>
      </c>
      <c r="F104" s="38">
        <v>46177</v>
      </c>
      <c r="G104" s="39">
        <v>46152</v>
      </c>
      <c r="H104" s="41">
        <v>111.13</v>
      </c>
      <c r="I104" s="41">
        <v>45.44</v>
      </c>
      <c r="J104" s="39">
        <v>46181</v>
      </c>
      <c r="K104" s="36" t="s">
        <v>300</v>
      </c>
      <c r="L104" s="37" t="s">
        <v>17</v>
      </c>
    </row>
    <row r="105" spans="1:12">
      <c r="A105" s="36" t="s">
        <v>301</v>
      </c>
      <c r="B105" s="36" t="s">
        <v>302</v>
      </c>
      <c r="C105" s="37" t="s">
        <v>14</v>
      </c>
      <c r="D105" s="37" t="s">
        <v>15</v>
      </c>
      <c r="E105" s="37" t="s">
        <v>23</v>
      </c>
      <c r="F105" s="38">
        <v>46176</v>
      </c>
      <c r="G105" s="39">
        <v>46152</v>
      </c>
      <c r="H105" s="41">
        <v>86.11</v>
      </c>
      <c r="I105" s="41">
        <v>22.27</v>
      </c>
      <c r="J105" s="39">
        <v>46178</v>
      </c>
      <c r="K105" s="36" t="s">
        <v>303</v>
      </c>
      <c r="L105" s="37" t="s">
        <v>17</v>
      </c>
    </row>
    <row r="106" spans="1:12">
      <c r="A106" s="36" t="s">
        <v>304</v>
      </c>
      <c r="B106" s="36" t="s">
        <v>305</v>
      </c>
      <c r="C106" s="37" t="s">
        <v>14</v>
      </c>
      <c r="D106" s="37" t="s">
        <v>15</v>
      </c>
      <c r="E106" s="37" t="s">
        <v>23</v>
      </c>
      <c r="F106" s="38">
        <v>46178</v>
      </c>
      <c r="G106" s="39">
        <v>46152</v>
      </c>
      <c r="H106" s="41">
        <v>78.099999999999994</v>
      </c>
      <c r="I106" s="41">
        <v>38.06</v>
      </c>
      <c r="J106" s="39">
        <v>46181</v>
      </c>
      <c r="K106" s="36" t="s">
        <v>306</v>
      </c>
      <c r="L106" s="37" t="s">
        <v>17</v>
      </c>
    </row>
    <row r="107" spans="1:12">
      <c r="A107" s="36" t="s">
        <v>307</v>
      </c>
      <c r="B107" s="36" t="s">
        <v>308</v>
      </c>
      <c r="C107" s="37" t="s">
        <v>14</v>
      </c>
      <c r="D107" s="37" t="s">
        <v>15</v>
      </c>
      <c r="E107" s="37" t="s">
        <v>16</v>
      </c>
      <c r="F107" s="38">
        <v>46174</v>
      </c>
      <c r="G107" s="39">
        <v>46152</v>
      </c>
      <c r="H107" s="41">
        <v>3.58</v>
      </c>
      <c r="I107" s="41"/>
      <c r="J107" s="39">
        <v>46181</v>
      </c>
      <c r="L107" s="37" t="s">
        <v>17</v>
      </c>
    </row>
    <row r="108" spans="1:12">
      <c r="A108" s="36" t="s">
        <v>309</v>
      </c>
      <c r="B108" s="36" t="s">
        <v>310</v>
      </c>
      <c r="C108" s="37" t="s">
        <v>14</v>
      </c>
      <c r="D108" s="37" t="s">
        <v>15</v>
      </c>
      <c r="E108" s="37" t="s">
        <v>80</v>
      </c>
      <c r="F108" s="38">
        <v>46177</v>
      </c>
      <c r="G108" s="39">
        <v>46152</v>
      </c>
      <c r="H108" s="41">
        <v>111.49</v>
      </c>
      <c r="I108" s="41">
        <v>22.58</v>
      </c>
      <c r="J108" s="39">
        <v>46181</v>
      </c>
      <c r="K108" s="36" t="s">
        <v>311</v>
      </c>
      <c r="L108" s="37" t="s">
        <v>17</v>
      </c>
    </row>
    <row r="109" spans="1:12">
      <c r="A109" s="36" t="s">
        <v>312</v>
      </c>
      <c r="B109" s="36" t="s">
        <v>313</v>
      </c>
      <c r="C109" s="37" t="s">
        <v>14</v>
      </c>
      <c r="D109" s="37" t="s">
        <v>15</v>
      </c>
      <c r="E109" s="37" t="s">
        <v>80</v>
      </c>
      <c r="F109" s="38">
        <v>46176</v>
      </c>
      <c r="G109" s="39">
        <v>46152</v>
      </c>
      <c r="H109" s="41">
        <v>85.2</v>
      </c>
      <c r="I109" s="41">
        <v>39.51</v>
      </c>
      <c r="J109" s="39">
        <v>46179</v>
      </c>
      <c r="K109" s="36" t="s">
        <v>314</v>
      </c>
      <c r="L109" s="37" t="s">
        <v>17</v>
      </c>
    </row>
    <row r="110" spans="1:12">
      <c r="A110" s="36" t="s">
        <v>315</v>
      </c>
      <c r="B110" s="36" t="s">
        <v>316</v>
      </c>
      <c r="C110" s="37" t="s">
        <v>14</v>
      </c>
      <c r="D110" s="37" t="s">
        <v>15</v>
      </c>
      <c r="E110" s="37" t="s">
        <v>55</v>
      </c>
      <c r="F110" s="38">
        <v>46183</v>
      </c>
      <c r="G110" s="39">
        <v>46152</v>
      </c>
      <c r="H110" s="41">
        <v>99.99</v>
      </c>
      <c r="I110" s="41">
        <v>40.72</v>
      </c>
      <c r="J110" s="39">
        <v>46186</v>
      </c>
      <c r="K110" s="36" t="s">
        <v>317</v>
      </c>
      <c r="L110" s="37" t="s">
        <v>17</v>
      </c>
    </row>
    <row r="111" spans="1:12">
      <c r="A111" s="36" t="s">
        <v>318</v>
      </c>
      <c r="B111" s="36" t="s">
        <v>319</v>
      </c>
      <c r="C111" s="37" t="s">
        <v>14</v>
      </c>
      <c r="D111" s="37" t="s">
        <v>15</v>
      </c>
      <c r="E111" s="37" t="s">
        <v>80</v>
      </c>
      <c r="F111" s="38">
        <v>46177</v>
      </c>
      <c r="G111" s="39">
        <v>46152</v>
      </c>
      <c r="H111" s="41">
        <v>109.99</v>
      </c>
      <c r="I111" s="41">
        <v>30</v>
      </c>
      <c r="J111" s="39">
        <v>46182</v>
      </c>
      <c r="K111" s="36" t="s">
        <v>320</v>
      </c>
      <c r="L111" s="37" t="s">
        <v>17</v>
      </c>
    </row>
    <row r="112" spans="1:12">
      <c r="A112" s="36" t="s">
        <v>321</v>
      </c>
      <c r="B112" s="36" t="s">
        <v>322</v>
      </c>
      <c r="C112" s="37" t="s">
        <v>14</v>
      </c>
      <c r="D112" s="37" t="s">
        <v>15</v>
      </c>
      <c r="E112" s="37" t="s">
        <v>55</v>
      </c>
      <c r="F112" s="38">
        <v>46182</v>
      </c>
      <c r="G112" s="39">
        <v>46152</v>
      </c>
      <c r="H112" s="41">
        <v>112.89</v>
      </c>
      <c r="I112" s="41">
        <v>45.73</v>
      </c>
      <c r="J112" s="39">
        <v>46186</v>
      </c>
      <c r="K112" s="36" t="s">
        <v>323</v>
      </c>
      <c r="L112" s="37" t="s">
        <v>17</v>
      </c>
    </row>
    <row r="113" spans="1:12">
      <c r="A113" s="36" t="s">
        <v>324</v>
      </c>
      <c r="B113" s="36" t="s">
        <v>325</v>
      </c>
      <c r="C113" s="37" t="s">
        <v>14</v>
      </c>
      <c r="D113" s="37" t="s">
        <v>15</v>
      </c>
      <c r="E113" s="37" t="s">
        <v>16</v>
      </c>
      <c r="F113" s="38">
        <v>46174</v>
      </c>
      <c r="G113" s="39">
        <v>46152</v>
      </c>
      <c r="H113" s="41">
        <v>3.58</v>
      </c>
      <c r="I113" s="41"/>
      <c r="J113" s="39">
        <v>46181</v>
      </c>
      <c r="L113" s="37" t="s">
        <v>17</v>
      </c>
    </row>
    <row r="114" spans="1:12">
      <c r="A114" s="36" t="s">
        <v>326</v>
      </c>
      <c r="B114" s="36" t="s">
        <v>327</v>
      </c>
      <c r="C114" s="37" t="s">
        <v>14</v>
      </c>
      <c r="D114" s="37" t="s">
        <v>15</v>
      </c>
      <c r="E114" s="37" t="s">
        <v>16</v>
      </c>
      <c r="F114" s="38">
        <v>46174</v>
      </c>
      <c r="G114" s="39">
        <v>46152</v>
      </c>
      <c r="H114" s="41">
        <v>7.11</v>
      </c>
      <c r="I114" s="41"/>
      <c r="J114" s="39">
        <v>46181</v>
      </c>
      <c r="L114" s="37" t="s">
        <v>17</v>
      </c>
    </row>
    <row r="115" spans="1:12">
      <c r="A115" s="36" t="s">
        <v>328</v>
      </c>
      <c r="B115" s="36" t="s">
        <v>329</v>
      </c>
      <c r="C115" s="37" t="s">
        <v>14</v>
      </c>
      <c r="D115" s="37" t="s">
        <v>15</v>
      </c>
      <c r="E115" s="37" t="s">
        <v>62</v>
      </c>
      <c r="F115" s="38">
        <v>46176</v>
      </c>
      <c r="G115" s="39">
        <v>46152</v>
      </c>
      <c r="H115" s="41">
        <v>99.99</v>
      </c>
      <c r="I115" s="41">
        <v>35</v>
      </c>
      <c r="J115" s="39">
        <v>46179</v>
      </c>
      <c r="K115" s="36" t="s">
        <v>330</v>
      </c>
      <c r="L115" s="37" t="s">
        <v>17</v>
      </c>
    </row>
    <row r="116" spans="1:12">
      <c r="A116" s="36" t="s">
        <v>331</v>
      </c>
      <c r="B116" s="36" t="s">
        <v>332</v>
      </c>
      <c r="C116" s="37" t="s">
        <v>14</v>
      </c>
      <c r="D116" s="37" t="s">
        <v>15</v>
      </c>
      <c r="E116" s="37" t="s">
        <v>23</v>
      </c>
      <c r="F116" s="38">
        <v>46182</v>
      </c>
      <c r="G116" s="39">
        <v>46152</v>
      </c>
      <c r="H116" s="41">
        <v>53.26</v>
      </c>
      <c r="I116" s="41">
        <v>32.97</v>
      </c>
      <c r="J116" s="39">
        <v>46185</v>
      </c>
      <c r="K116" s="36" t="s">
        <v>333</v>
      </c>
      <c r="L116" s="37" t="s">
        <v>17</v>
      </c>
    </row>
    <row r="117" spans="1:12">
      <c r="A117" s="36" t="s">
        <v>334</v>
      </c>
      <c r="B117" s="36" t="s">
        <v>335</v>
      </c>
      <c r="C117" s="37" t="s">
        <v>14</v>
      </c>
      <c r="D117" s="37" t="s">
        <v>15</v>
      </c>
      <c r="E117" s="37" t="s">
        <v>16</v>
      </c>
      <c r="F117" s="38">
        <v>46174</v>
      </c>
      <c r="G117" s="39">
        <v>46152</v>
      </c>
      <c r="H117" s="41">
        <v>3.58</v>
      </c>
      <c r="I117" s="41"/>
      <c r="J117" s="39">
        <v>46181</v>
      </c>
      <c r="L117" s="37" t="s">
        <v>17</v>
      </c>
    </row>
    <row r="118" spans="1:12">
      <c r="A118" s="36" t="s">
        <v>336</v>
      </c>
      <c r="B118" s="36" t="s">
        <v>337</v>
      </c>
      <c r="C118" s="37" t="s">
        <v>14</v>
      </c>
      <c r="D118" s="37" t="s">
        <v>15</v>
      </c>
      <c r="E118" s="37" t="s">
        <v>16</v>
      </c>
      <c r="F118" s="38">
        <v>46174</v>
      </c>
      <c r="G118" s="39">
        <v>46152</v>
      </c>
      <c r="H118" s="41">
        <v>31</v>
      </c>
      <c r="I118" s="41"/>
      <c r="J118" s="39">
        <v>46181</v>
      </c>
      <c r="L118" s="37" t="s">
        <v>17</v>
      </c>
    </row>
    <row r="119" spans="1:12">
      <c r="A119" s="36" t="s">
        <v>338</v>
      </c>
      <c r="B119" s="36" t="s">
        <v>339</v>
      </c>
      <c r="C119" s="37" t="s">
        <v>14</v>
      </c>
      <c r="D119" s="37" t="s">
        <v>15</v>
      </c>
      <c r="E119" s="37" t="s">
        <v>23</v>
      </c>
      <c r="F119" s="38">
        <v>46178</v>
      </c>
      <c r="G119" s="39">
        <v>46152</v>
      </c>
      <c r="H119" s="41">
        <v>99.99</v>
      </c>
      <c r="I119" s="41">
        <v>76.239999999999995</v>
      </c>
      <c r="J119" s="39">
        <v>46183</v>
      </c>
      <c r="K119" s="36" t="s">
        <v>340</v>
      </c>
      <c r="L119" s="37" t="s">
        <v>17</v>
      </c>
    </row>
    <row r="120" spans="1:12">
      <c r="A120" s="36" t="s">
        <v>341</v>
      </c>
      <c r="B120" s="36" t="s">
        <v>342</v>
      </c>
      <c r="C120" s="37" t="s">
        <v>14</v>
      </c>
      <c r="D120" s="37" t="s">
        <v>15</v>
      </c>
      <c r="E120" s="37" t="s">
        <v>23</v>
      </c>
      <c r="F120" s="38">
        <v>46178</v>
      </c>
      <c r="G120" s="39">
        <v>46152</v>
      </c>
      <c r="H120" s="41">
        <v>86.05</v>
      </c>
      <c r="I120" s="41">
        <v>25</v>
      </c>
      <c r="J120" s="39">
        <v>46181</v>
      </c>
      <c r="K120" s="36" t="s">
        <v>343</v>
      </c>
      <c r="L120" s="37" t="s">
        <v>17</v>
      </c>
    </row>
    <row r="121" spans="1:12">
      <c r="A121" s="36" t="s">
        <v>344</v>
      </c>
      <c r="B121" s="36" t="s">
        <v>345</v>
      </c>
      <c r="C121" s="37" t="s">
        <v>14</v>
      </c>
      <c r="D121" s="37" t="s">
        <v>15</v>
      </c>
      <c r="E121" s="37" t="s">
        <v>23</v>
      </c>
      <c r="F121" s="38">
        <v>46178</v>
      </c>
      <c r="G121" s="39">
        <v>46152</v>
      </c>
      <c r="H121" s="41">
        <v>99.36</v>
      </c>
      <c r="I121" s="41">
        <v>42.44</v>
      </c>
      <c r="J121" s="39">
        <v>46181</v>
      </c>
      <c r="K121" s="36" t="s">
        <v>346</v>
      </c>
      <c r="L121" s="37" t="s">
        <v>17</v>
      </c>
    </row>
    <row r="122" spans="1:12">
      <c r="A122" s="36" t="s">
        <v>347</v>
      </c>
      <c r="B122" s="36" t="s">
        <v>348</v>
      </c>
      <c r="C122" s="37" t="s">
        <v>14</v>
      </c>
      <c r="D122" s="37" t="s">
        <v>15</v>
      </c>
      <c r="E122" s="37" t="s">
        <v>23</v>
      </c>
      <c r="F122" s="38">
        <v>46178</v>
      </c>
      <c r="G122" s="39">
        <v>46152</v>
      </c>
      <c r="H122" s="41">
        <v>96.82</v>
      </c>
      <c r="I122" s="41">
        <v>39.92</v>
      </c>
      <c r="J122" s="39">
        <v>46183</v>
      </c>
      <c r="K122" s="36" t="s">
        <v>349</v>
      </c>
      <c r="L122" s="37" t="s">
        <v>17</v>
      </c>
    </row>
    <row r="123" spans="1:12">
      <c r="A123" s="36" t="s">
        <v>350</v>
      </c>
      <c r="B123" s="36" t="s">
        <v>351</v>
      </c>
      <c r="C123" s="37" t="s">
        <v>14</v>
      </c>
      <c r="D123" s="37" t="s">
        <v>15</v>
      </c>
      <c r="E123" s="37" t="s">
        <v>352</v>
      </c>
      <c r="F123" s="38">
        <v>46177</v>
      </c>
      <c r="G123" s="39">
        <v>46152</v>
      </c>
      <c r="H123" s="41">
        <v>109.99</v>
      </c>
      <c r="I123" s="41">
        <v>67.53</v>
      </c>
      <c r="J123" s="39">
        <v>46182</v>
      </c>
      <c r="K123" s="36" t="s">
        <v>353</v>
      </c>
      <c r="L123" s="37" t="s">
        <v>17</v>
      </c>
    </row>
    <row r="124" spans="1:12">
      <c r="A124" s="36" t="s">
        <v>354</v>
      </c>
      <c r="B124" s="36" t="s">
        <v>355</v>
      </c>
      <c r="C124" s="37" t="s">
        <v>14</v>
      </c>
      <c r="D124" s="37" t="s">
        <v>15</v>
      </c>
      <c r="E124" s="37" t="s">
        <v>356</v>
      </c>
      <c r="F124" s="38">
        <v>46176</v>
      </c>
      <c r="G124" s="39">
        <v>46152</v>
      </c>
      <c r="H124" s="41">
        <v>119.99</v>
      </c>
      <c r="I124" s="41">
        <v>24.67</v>
      </c>
      <c r="J124" s="39">
        <v>46181</v>
      </c>
      <c r="K124" s="36" t="s">
        <v>357</v>
      </c>
      <c r="L124" s="37" t="s">
        <v>17</v>
      </c>
    </row>
    <row r="125" spans="1:12">
      <c r="A125" s="36" t="s">
        <v>358</v>
      </c>
      <c r="B125" s="36" t="s">
        <v>359</v>
      </c>
      <c r="C125" s="37" t="s">
        <v>14</v>
      </c>
      <c r="D125" s="37" t="s">
        <v>15</v>
      </c>
      <c r="E125" s="37" t="s">
        <v>360</v>
      </c>
      <c r="F125" s="38">
        <v>46178</v>
      </c>
      <c r="G125" s="39">
        <v>46152</v>
      </c>
      <c r="H125" s="41">
        <v>67.44</v>
      </c>
      <c r="I125" s="41">
        <v>26.9</v>
      </c>
      <c r="J125" s="39">
        <v>46183</v>
      </c>
      <c r="K125" s="36" t="s">
        <v>361</v>
      </c>
      <c r="L125" s="37" t="s">
        <v>17</v>
      </c>
    </row>
    <row r="126" spans="1:12">
      <c r="A126" s="36" t="s">
        <v>362</v>
      </c>
      <c r="B126" s="36" t="s">
        <v>363</v>
      </c>
      <c r="C126" s="37" t="s">
        <v>14</v>
      </c>
      <c r="D126" s="37" t="s">
        <v>15</v>
      </c>
      <c r="E126" s="37" t="s">
        <v>58</v>
      </c>
      <c r="F126" s="38">
        <v>46177</v>
      </c>
      <c r="G126" s="39">
        <v>46152</v>
      </c>
      <c r="H126" s="41">
        <v>109.99</v>
      </c>
      <c r="I126" s="41">
        <v>40</v>
      </c>
      <c r="J126" s="39">
        <v>46183</v>
      </c>
      <c r="K126" s="36" t="s">
        <v>364</v>
      </c>
      <c r="L126" s="37" t="s">
        <v>17</v>
      </c>
    </row>
    <row r="127" spans="1:12">
      <c r="A127" s="36" t="s">
        <v>365</v>
      </c>
      <c r="B127" s="36" t="s">
        <v>366</v>
      </c>
      <c r="C127" s="37" t="s">
        <v>14</v>
      </c>
      <c r="D127" s="37" t="s">
        <v>15</v>
      </c>
      <c r="E127" s="37" t="s">
        <v>16</v>
      </c>
      <c r="F127" s="38">
        <v>46174</v>
      </c>
      <c r="G127" s="39">
        <v>46152</v>
      </c>
      <c r="H127" s="41">
        <v>9.68</v>
      </c>
      <c r="I127" s="41"/>
      <c r="J127" s="39">
        <v>46181</v>
      </c>
      <c r="L127" s="37" t="s">
        <v>17</v>
      </c>
    </row>
    <row r="128" spans="1:12">
      <c r="A128" s="36" t="s">
        <v>367</v>
      </c>
      <c r="B128" s="36" t="s">
        <v>368</v>
      </c>
      <c r="C128" s="37" t="s">
        <v>14</v>
      </c>
      <c r="D128" s="37" t="s">
        <v>15</v>
      </c>
      <c r="E128" s="37" t="s">
        <v>80</v>
      </c>
      <c r="F128" s="38">
        <v>46176</v>
      </c>
      <c r="G128" s="39">
        <v>46152</v>
      </c>
      <c r="H128" s="41">
        <v>67.44</v>
      </c>
      <c r="I128" s="52">
        <v>22</v>
      </c>
      <c r="J128" s="39">
        <v>46181</v>
      </c>
      <c r="K128" s="36" t="s">
        <v>369</v>
      </c>
      <c r="L128" s="37" t="s">
        <v>17</v>
      </c>
    </row>
    <row r="129" spans="1:12">
      <c r="A129" s="36" t="s">
        <v>370</v>
      </c>
      <c r="B129" s="36" t="s">
        <v>371</v>
      </c>
      <c r="C129" s="37" t="s">
        <v>14</v>
      </c>
      <c r="D129" s="37" t="s">
        <v>15</v>
      </c>
      <c r="E129" s="37" t="s">
        <v>58</v>
      </c>
      <c r="F129" s="38">
        <v>46182</v>
      </c>
      <c r="G129" s="39">
        <v>46152</v>
      </c>
      <c r="H129" s="41">
        <v>102.19</v>
      </c>
      <c r="I129" s="41">
        <v>30.79</v>
      </c>
      <c r="J129" s="39">
        <v>46186</v>
      </c>
      <c r="K129" s="36" t="s">
        <v>372</v>
      </c>
      <c r="L129" s="37" t="s">
        <v>17</v>
      </c>
    </row>
    <row r="130" spans="1:12">
      <c r="A130" s="36" t="s">
        <v>373</v>
      </c>
      <c r="B130" s="36" t="s">
        <v>374</v>
      </c>
      <c r="C130" s="37" t="s">
        <v>14</v>
      </c>
      <c r="D130" s="37" t="s">
        <v>15</v>
      </c>
      <c r="E130" s="37" t="s">
        <v>55</v>
      </c>
      <c r="F130" s="38">
        <v>46178</v>
      </c>
      <c r="G130" s="39">
        <v>46152</v>
      </c>
      <c r="H130" s="41">
        <v>99.99</v>
      </c>
      <c r="I130" s="41">
        <v>40.57</v>
      </c>
      <c r="J130" s="39">
        <v>46182</v>
      </c>
      <c r="K130" s="36" t="s">
        <v>375</v>
      </c>
      <c r="L130" s="37" t="s">
        <v>17</v>
      </c>
    </row>
    <row r="131" spans="1:12">
      <c r="A131" s="36" t="s">
        <v>376</v>
      </c>
      <c r="B131" s="36" t="s">
        <v>377</v>
      </c>
      <c r="C131" s="37" t="s">
        <v>14</v>
      </c>
      <c r="D131" s="37" t="s">
        <v>15</v>
      </c>
      <c r="E131" s="37" t="s">
        <v>16</v>
      </c>
      <c r="F131" s="38">
        <v>46174</v>
      </c>
      <c r="G131" s="39">
        <v>46152</v>
      </c>
      <c r="H131" s="41">
        <v>3.26</v>
      </c>
      <c r="I131" s="41"/>
      <c r="J131" s="39">
        <v>46181</v>
      </c>
      <c r="L131" s="37" t="s">
        <v>17</v>
      </c>
    </row>
    <row r="132" spans="1:12">
      <c r="A132" s="36" t="s">
        <v>378</v>
      </c>
      <c r="B132" s="36" t="s">
        <v>379</v>
      </c>
      <c r="C132" s="37" t="s">
        <v>14</v>
      </c>
      <c r="D132" s="37" t="s">
        <v>15</v>
      </c>
      <c r="E132" s="37" t="s">
        <v>55</v>
      </c>
      <c r="F132" s="38">
        <v>46182</v>
      </c>
      <c r="G132" s="39">
        <v>46152</v>
      </c>
      <c r="H132" s="41">
        <v>99.99</v>
      </c>
      <c r="I132" s="41">
        <v>40.590000000000003</v>
      </c>
      <c r="J132" s="39">
        <v>46185</v>
      </c>
      <c r="K132" s="36" t="s">
        <v>380</v>
      </c>
      <c r="L132" s="37" t="s">
        <v>17</v>
      </c>
    </row>
    <row r="133" spans="1:12">
      <c r="A133" s="36" t="s">
        <v>381</v>
      </c>
      <c r="B133" s="36" t="s">
        <v>382</v>
      </c>
      <c r="C133" s="37" t="s">
        <v>14</v>
      </c>
      <c r="D133" s="37" t="s">
        <v>15</v>
      </c>
      <c r="E133" s="37" t="s">
        <v>55</v>
      </c>
      <c r="F133" s="38">
        <v>46182</v>
      </c>
      <c r="G133" s="39">
        <v>46152</v>
      </c>
      <c r="H133" s="41">
        <v>101.16</v>
      </c>
      <c r="I133" s="41">
        <v>35.049999999999997</v>
      </c>
      <c r="J133" s="39">
        <v>46186</v>
      </c>
      <c r="K133" s="36" t="s">
        <v>383</v>
      </c>
      <c r="L133" s="37" t="s">
        <v>17</v>
      </c>
    </row>
    <row r="134" spans="1:12">
      <c r="A134" s="36" t="s">
        <v>384</v>
      </c>
      <c r="B134" s="36" t="s">
        <v>385</v>
      </c>
      <c r="C134" s="37" t="s">
        <v>14</v>
      </c>
      <c r="D134" s="37" t="s">
        <v>15</v>
      </c>
      <c r="E134" s="37" t="s">
        <v>80</v>
      </c>
      <c r="F134" s="38">
        <v>46177</v>
      </c>
      <c r="G134" s="39">
        <v>46152</v>
      </c>
      <c r="H134" s="41">
        <v>119.99</v>
      </c>
      <c r="I134" s="41">
        <v>20</v>
      </c>
      <c r="J134" s="39">
        <v>46182</v>
      </c>
      <c r="K134" s="36" t="s">
        <v>386</v>
      </c>
      <c r="L134" s="37" t="s">
        <v>17</v>
      </c>
    </row>
    <row r="135" spans="1:12">
      <c r="A135" s="36" t="s">
        <v>387</v>
      </c>
      <c r="B135" s="36" t="s">
        <v>388</v>
      </c>
      <c r="C135" s="37" t="s">
        <v>14</v>
      </c>
      <c r="D135" s="37" t="s">
        <v>15</v>
      </c>
      <c r="E135" s="37" t="s">
        <v>80</v>
      </c>
      <c r="F135" s="38">
        <v>46181</v>
      </c>
      <c r="G135" s="39">
        <v>46152</v>
      </c>
      <c r="H135" s="41">
        <v>110.44</v>
      </c>
      <c r="I135" s="41">
        <v>20</v>
      </c>
      <c r="J135" s="39">
        <v>46185</v>
      </c>
      <c r="K135" s="36" t="s">
        <v>389</v>
      </c>
      <c r="L135" s="37" t="s">
        <v>17</v>
      </c>
    </row>
    <row r="136" spans="1:12">
      <c r="A136" s="36" t="s">
        <v>390</v>
      </c>
      <c r="B136" s="36" t="s">
        <v>391</v>
      </c>
      <c r="C136" s="37" t="s">
        <v>14</v>
      </c>
      <c r="D136" s="37" t="s">
        <v>15</v>
      </c>
      <c r="E136" s="37" t="s">
        <v>58</v>
      </c>
      <c r="F136" s="38">
        <v>46178</v>
      </c>
      <c r="G136" s="39">
        <v>46152</v>
      </c>
      <c r="H136" s="41">
        <v>95.83</v>
      </c>
      <c r="I136" s="41">
        <v>50.4</v>
      </c>
      <c r="J136" s="39">
        <v>46182</v>
      </c>
      <c r="K136" s="36" t="s">
        <v>392</v>
      </c>
      <c r="L136" s="37" t="s">
        <v>17</v>
      </c>
    </row>
    <row r="137" spans="1:12">
      <c r="A137" s="36" t="s">
        <v>393</v>
      </c>
      <c r="B137" s="36" t="s">
        <v>394</v>
      </c>
      <c r="C137" s="37" t="s">
        <v>14</v>
      </c>
      <c r="D137" s="37" t="s">
        <v>15</v>
      </c>
      <c r="E137" s="37" t="s">
        <v>55</v>
      </c>
      <c r="F137" s="38">
        <v>46182</v>
      </c>
      <c r="G137" s="39">
        <v>46152</v>
      </c>
      <c r="H137" s="41">
        <v>139.99</v>
      </c>
      <c r="I137" s="41">
        <v>56.83</v>
      </c>
      <c r="J137" s="39">
        <v>46186</v>
      </c>
      <c r="K137" s="36" t="s">
        <v>395</v>
      </c>
      <c r="L137" s="37" t="s">
        <v>17</v>
      </c>
    </row>
    <row r="138" spans="1:12">
      <c r="A138" s="36" t="s">
        <v>396</v>
      </c>
      <c r="B138" s="36" t="s">
        <v>397</v>
      </c>
      <c r="C138" s="37" t="s">
        <v>14</v>
      </c>
      <c r="D138" s="37" t="s">
        <v>15</v>
      </c>
      <c r="E138" s="37" t="s">
        <v>80</v>
      </c>
      <c r="F138" s="38">
        <v>46181</v>
      </c>
      <c r="G138" s="39">
        <v>46152</v>
      </c>
      <c r="H138" s="41">
        <v>91.13</v>
      </c>
      <c r="I138" s="41">
        <v>22.38</v>
      </c>
      <c r="J138" s="39">
        <v>46185</v>
      </c>
      <c r="K138" s="36" t="s">
        <v>398</v>
      </c>
      <c r="L138" s="37" t="s">
        <v>17</v>
      </c>
    </row>
    <row r="139" spans="1:12">
      <c r="A139" s="36" t="s">
        <v>399</v>
      </c>
      <c r="B139" s="36" t="s">
        <v>400</v>
      </c>
      <c r="C139" s="37" t="s">
        <v>14</v>
      </c>
      <c r="D139" s="37" t="s">
        <v>15</v>
      </c>
      <c r="E139" s="37" t="s">
        <v>58</v>
      </c>
      <c r="F139" s="38">
        <v>46181</v>
      </c>
      <c r="G139" s="39">
        <v>46152</v>
      </c>
      <c r="H139" s="41">
        <v>119.99</v>
      </c>
      <c r="I139" s="41">
        <v>60.29</v>
      </c>
      <c r="J139" s="39">
        <v>46183</v>
      </c>
      <c r="K139" s="36" t="s">
        <v>401</v>
      </c>
      <c r="L139" s="37" t="s">
        <v>17</v>
      </c>
    </row>
    <row r="140" spans="1:12">
      <c r="A140" s="36" t="s">
        <v>402</v>
      </c>
      <c r="B140" s="36" t="s">
        <v>403</v>
      </c>
      <c r="C140" s="37" t="s">
        <v>14</v>
      </c>
      <c r="D140" s="37" t="s">
        <v>15</v>
      </c>
      <c r="E140" s="37" t="s">
        <v>80</v>
      </c>
      <c r="F140" s="38">
        <v>46181</v>
      </c>
      <c r="G140" s="39">
        <v>46152</v>
      </c>
      <c r="H140" s="41">
        <v>106.46</v>
      </c>
      <c r="I140" s="41">
        <v>21.96</v>
      </c>
      <c r="J140" s="39">
        <v>46185</v>
      </c>
      <c r="K140" s="36" t="s">
        <v>404</v>
      </c>
      <c r="L140" s="37" t="s">
        <v>17</v>
      </c>
    </row>
    <row r="141" spans="1:12">
      <c r="A141" s="36" t="s">
        <v>405</v>
      </c>
      <c r="B141" s="36" t="s">
        <v>406</v>
      </c>
      <c r="C141" s="37" t="s">
        <v>14</v>
      </c>
      <c r="D141" s="37" t="s">
        <v>15</v>
      </c>
      <c r="E141" s="37" t="s">
        <v>23</v>
      </c>
      <c r="F141" s="38">
        <v>46183</v>
      </c>
      <c r="G141" s="39">
        <v>46152</v>
      </c>
      <c r="H141" s="41">
        <v>60.31</v>
      </c>
      <c r="I141" s="41">
        <v>25.82</v>
      </c>
      <c r="J141" s="39">
        <v>46188</v>
      </c>
      <c r="K141" s="36" t="s">
        <v>407</v>
      </c>
      <c r="L141" s="37" t="s">
        <v>17</v>
      </c>
    </row>
    <row r="142" spans="1:12">
      <c r="A142" s="36" t="s">
        <v>408</v>
      </c>
      <c r="B142" s="36" t="s">
        <v>409</v>
      </c>
      <c r="C142" s="37" t="s">
        <v>14</v>
      </c>
      <c r="D142" s="37" t="s">
        <v>15</v>
      </c>
      <c r="E142" s="37" t="s">
        <v>16</v>
      </c>
      <c r="F142" s="38">
        <v>46174</v>
      </c>
      <c r="G142" s="39">
        <v>46152</v>
      </c>
      <c r="H142" s="41">
        <v>4.8499999999999996</v>
      </c>
      <c r="I142" s="41"/>
      <c r="J142" s="39">
        <v>46181</v>
      </c>
      <c r="L142" s="37" t="s">
        <v>17</v>
      </c>
    </row>
    <row r="143" spans="1:12">
      <c r="A143" s="36" t="s">
        <v>410</v>
      </c>
      <c r="B143" s="36" t="s">
        <v>411</v>
      </c>
      <c r="C143" s="37" t="s">
        <v>14</v>
      </c>
      <c r="D143" s="37" t="s">
        <v>15</v>
      </c>
      <c r="E143" s="37" t="s">
        <v>16</v>
      </c>
      <c r="F143" s="38">
        <v>46174</v>
      </c>
      <c r="G143" s="39">
        <v>46152</v>
      </c>
      <c r="H143" s="41">
        <v>39.74</v>
      </c>
      <c r="I143" s="41"/>
      <c r="J143" s="39">
        <v>46181</v>
      </c>
      <c r="L143" s="37" t="s">
        <v>17</v>
      </c>
    </row>
    <row r="144" spans="1:12">
      <c r="A144" s="36" t="s">
        <v>412</v>
      </c>
      <c r="B144" s="36" t="s">
        <v>413</v>
      </c>
      <c r="C144" s="37" t="s">
        <v>14</v>
      </c>
      <c r="D144" s="37" t="s">
        <v>15</v>
      </c>
      <c r="E144" s="37" t="s">
        <v>16</v>
      </c>
      <c r="F144" s="38">
        <v>46174</v>
      </c>
      <c r="G144" s="39">
        <v>46152</v>
      </c>
      <c r="H144" s="41">
        <v>9.68</v>
      </c>
      <c r="I144" s="41"/>
      <c r="J144" s="39">
        <v>46181</v>
      </c>
      <c r="L144" s="37" t="s">
        <v>17</v>
      </c>
    </row>
    <row r="145" spans="1:12">
      <c r="A145" s="36" t="s">
        <v>414</v>
      </c>
      <c r="B145" s="36" t="s">
        <v>415</v>
      </c>
      <c r="C145" s="37" t="s">
        <v>14</v>
      </c>
      <c r="D145" s="37" t="s">
        <v>15</v>
      </c>
      <c r="E145" s="37" t="s">
        <v>16</v>
      </c>
      <c r="F145" s="38">
        <v>46174</v>
      </c>
      <c r="G145" s="39">
        <v>46152</v>
      </c>
      <c r="H145" s="41">
        <v>38.99</v>
      </c>
      <c r="I145" s="41"/>
      <c r="J145" s="39">
        <v>46181</v>
      </c>
      <c r="L145" s="37" t="s">
        <v>17</v>
      </c>
    </row>
    <row r="146" spans="1:12">
      <c r="A146" s="36" t="s">
        <v>416</v>
      </c>
      <c r="B146" s="36" t="s">
        <v>417</v>
      </c>
      <c r="C146" s="37" t="s">
        <v>14</v>
      </c>
      <c r="D146" s="37" t="s">
        <v>15</v>
      </c>
      <c r="E146" s="37" t="s">
        <v>16</v>
      </c>
      <c r="F146" s="38">
        <v>46174</v>
      </c>
      <c r="G146" s="39">
        <v>46152</v>
      </c>
      <c r="H146" s="41">
        <v>3.88</v>
      </c>
      <c r="I146" s="41"/>
      <c r="J146" s="39">
        <v>46181</v>
      </c>
      <c r="L146" s="37" t="s">
        <v>17</v>
      </c>
    </row>
    <row r="147" spans="1:12">
      <c r="A147" s="36" t="s">
        <v>418</v>
      </c>
      <c r="B147" s="36" t="s">
        <v>419</v>
      </c>
      <c r="C147" s="37" t="s">
        <v>14</v>
      </c>
      <c r="D147" s="37" t="s">
        <v>15</v>
      </c>
      <c r="E147" s="37" t="s">
        <v>16</v>
      </c>
      <c r="F147" s="38">
        <v>46174</v>
      </c>
      <c r="G147" s="39">
        <v>46152</v>
      </c>
      <c r="H147" s="41">
        <v>17.77</v>
      </c>
      <c r="I147" s="41"/>
      <c r="J147" s="39">
        <v>46181</v>
      </c>
      <c r="L147" s="37" t="s">
        <v>17</v>
      </c>
    </row>
    <row r="148" spans="1:12">
      <c r="A148" s="36" t="s">
        <v>420</v>
      </c>
      <c r="B148" s="36" t="s">
        <v>421</v>
      </c>
      <c r="C148" s="37" t="s">
        <v>14</v>
      </c>
      <c r="D148" s="37" t="s">
        <v>15</v>
      </c>
      <c r="E148" s="37" t="s">
        <v>16</v>
      </c>
      <c r="F148" s="38">
        <v>46174</v>
      </c>
      <c r="G148" s="39">
        <v>46152</v>
      </c>
      <c r="H148" s="41">
        <v>3.26</v>
      </c>
      <c r="I148" s="41"/>
      <c r="J148" s="39">
        <v>46181</v>
      </c>
      <c r="L148" s="37" t="s">
        <v>17</v>
      </c>
    </row>
    <row r="149" spans="1:12">
      <c r="A149" s="36" t="s">
        <v>422</v>
      </c>
      <c r="B149" s="36" t="s">
        <v>423</v>
      </c>
      <c r="C149" s="37" t="s">
        <v>14</v>
      </c>
      <c r="D149" s="37" t="s">
        <v>15</v>
      </c>
      <c r="E149" s="37" t="s">
        <v>58</v>
      </c>
      <c r="F149" s="38">
        <v>46192</v>
      </c>
      <c r="G149" s="39">
        <v>46152</v>
      </c>
      <c r="H149" s="41">
        <v>49.99</v>
      </c>
      <c r="I149" s="41">
        <v>50</v>
      </c>
      <c r="J149" s="39">
        <v>46188</v>
      </c>
      <c r="K149" s="36" t="s">
        <v>424</v>
      </c>
      <c r="L149" s="37" t="s">
        <v>17</v>
      </c>
    </row>
    <row r="150" spans="1:12">
      <c r="A150" s="36" t="s">
        <v>425</v>
      </c>
      <c r="B150" s="36" t="s">
        <v>426</v>
      </c>
      <c r="C150" s="37" t="s">
        <v>14</v>
      </c>
      <c r="D150" s="37" t="s">
        <v>15</v>
      </c>
      <c r="E150" s="37" t="s">
        <v>16</v>
      </c>
      <c r="F150" s="38">
        <v>46174</v>
      </c>
      <c r="G150" s="39">
        <v>46152</v>
      </c>
      <c r="H150" s="41">
        <v>17.41</v>
      </c>
      <c r="I150" s="41"/>
      <c r="J150" s="39">
        <v>46181</v>
      </c>
      <c r="L150" s="37" t="s">
        <v>17</v>
      </c>
    </row>
    <row r="151" spans="1:12">
      <c r="A151" s="36" t="s">
        <v>427</v>
      </c>
      <c r="B151" s="36" t="s">
        <v>428</v>
      </c>
      <c r="C151" s="37" t="s">
        <v>14</v>
      </c>
      <c r="D151" s="37" t="s">
        <v>15</v>
      </c>
      <c r="E151" s="37" t="s">
        <v>16</v>
      </c>
      <c r="F151" s="38">
        <v>46174</v>
      </c>
      <c r="G151" s="39">
        <v>46152</v>
      </c>
      <c r="H151" s="41">
        <v>4.8499999999999996</v>
      </c>
      <c r="I151" s="41"/>
      <c r="J151" s="39">
        <v>46181</v>
      </c>
      <c r="L151" s="37" t="s">
        <v>17</v>
      </c>
    </row>
    <row r="152" spans="1:12">
      <c r="A152" s="36" t="s">
        <v>429</v>
      </c>
      <c r="B152" s="36" t="s">
        <v>430</v>
      </c>
      <c r="C152" s="37" t="s">
        <v>14</v>
      </c>
      <c r="D152" s="37" t="s">
        <v>15</v>
      </c>
      <c r="E152" s="37" t="s">
        <v>16</v>
      </c>
      <c r="F152" s="38">
        <v>46174</v>
      </c>
      <c r="G152" s="39">
        <v>46152</v>
      </c>
      <c r="H152" s="41">
        <v>35.49</v>
      </c>
      <c r="I152" s="41"/>
      <c r="J152" s="39">
        <v>46181</v>
      </c>
      <c r="L152" s="37" t="s">
        <v>17</v>
      </c>
    </row>
    <row r="153" spans="1:12">
      <c r="A153" s="36" t="s">
        <v>431</v>
      </c>
      <c r="B153" s="36" t="s">
        <v>432</v>
      </c>
      <c r="C153" s="37" t="s">
        <v>14</v>
      </c>
      <c r="D153" s="37" t="s">
        <v>15</v>
      </c>
      <c r="E153" s="37" t="s">
        <v>16</v>
      </c>
      <c r="F153" s="38">
        <v>46174</v>
      </c>
      <c r="G153" s="39">
        <v>46152</v>
      </c>
      <c r="H153" s="41">
        <v>3.26</v>
      </c>
      <c r="I153" s="41"/>
      <c r="J153" s="39">
        <v>46181</v>
      </c>
      <c r="L153" s="37" t="s">
        <v>17</v>
      </c>
    </row>
    <row r="154" spans="1:12">
      <c r="A154" s="36" t="s">
        <v>433</v>
      </c>
      <c r="B154" s="36" t="s">
        <v>434</v>
      </c>
      <c r="C154" s="37" t="s">
        <v>14</v>
      </c>
      <c r="D154" s="37" t="s">
        <v>15</v>
      </c>
      <c r="E154" s="37" t="s">
        <v>55</v>
      </c>
      <c r="F154" s="38">
        <v>46183</v>
      </c>
      <c r="G154" s="39">
        <v>46152</v>
      </c>
      <c r="H154" s="41">
        <v>49.99</v>
      </c>
      <c r="I154" s="41">
        <v>15.22</v>
      </c>
      <c r="J154" s="39">
        <v>46188</v>
      </c>
      <c r="K154" s="36" t="s">
        <v>435</v>
      </c>
      <c r="L154" s="37" t="s">
        <v>17</v>
      </c>
    </row>
    <row r="155" spans="1:12">
      <c r="A155" s="36" t="s">
        <v>436</v>
      </c>
      <c r="B155" s="36" t="s">
        <v>437</v>
      </c>
      <c r="C155" s="37" t="s">
        <v>14</v>
      </c>
      <c r="D155" s="37" t="s">
        <v>15</v>
      </c>
      <c r="E155" s="37" t="s">
        <v>16</v>
      </c>
      <c r="F155" s="38">
        <v>46174</v>
      </c>
      <c r="G155" s="39">
        <v>46152</v>
      </c>
      <c r="H155" s="41">
        <v>19.28</v>
      </c>
      <c r="I155" s="41"/>
      <c r="J155" s="39">
        <v>46181</v>
      </c>
      <c r="L155" s="37" t="s">
        <v>17</v>
      </c>
    </row>
    <row r="156" spans="1:12">
      <c r="A156" s="36" t="s">
        <v>438</v>
      </c>
      <c r="B156" s="36" t="s">
        <v>439</v>
      </c>
      <c r="C156" s="37" t="s">
        <v>14</v>
      </c>
      <c r="D156" s="37" t="s">
        <v>15</v>
      </c>
      <c r="E156" s="37" t="s">
        <v>23</v>
      </c>
      <c r="F156" s="38">
        <v>46183</v>
      </c>
      <c r="G156" s="39">
        <v>46152</v>
      </c>
      <c r="H156" s="41">
        <v>59.99</v>
      </c>
      <c r="I156" s="41">
        <v>24.41</v>
      </c>
      <c r="J156" s="39">
        <v>46188</v>
      </c>
      <c r="K156" s="36" t="s">
        <v>440</v>
      </c>
      <c r="L156" s="37" t="s">
        <v>17</v>
      </c>
    </row>
    <row r="157" spans="1:12">
      <c r="A157" s="36" t="s">
        <v>441</v>
      </c>
      <c r="B157" s="36" t="s">
        <v>442</v>
      </c>
      <c r="C157" s="37" t="s">
        <v>14</v>
      </c>
      <c r="D157" s="37" t="s">
        <v>15</v>
      </c>
      <c r="E157" s="37" t="s">
        <v>55</v>
      </c>
      <c r="F157" s="38">
        <v>46184</v>
      </c>
      <c r="G157" s="39">
        <v>46152</v>
      </c>
      <c r="H157" s="41">
        <v>49.99</v>
      </c>
      <c r="I157" s="41">
        <v>20.3</v>
      </c>
      <c r="J157" s="39">
        <v>46188</v>
      </c>
      <c r="K157" s="36" t="s">
        <v>443</v>
      </c>
      <c r="L157" s="37" t="s">
        <v>17</v>
      </c>
    </row>
    <row r="158" spans="1:12">
      <c r="A158" s="36" t="s">
        <v>444</v>
      </c>
      <c r="B158" s="36" t="s">
        <v>445</v>
      </c>
      <c r="C158" s="37" t="s">
        <v>14</v>
      </c>
      <c r="D158" s="37" t="s">
        <v>15</v>
      </c>
      <c r="E158" s="37" t="s">
        <v>446</v>
      </c>
      <c r="F158" s="38">
        <v>46181</v>
      </c>
      <c r="G158" s="39">
        <v>46152</v>
      </c>
      <c r="H158" s="41">
        <v>49.99</v>
      </c>
      <c r="I158" s="41">
        <v>30</v>
      </c>
      <c r="J158" s="39">
        <v>46183</v>
      </c>
      <c r="K158" s="36" t="s">
        <v>447</v>
      </c>
      <c r="L158" s="37" t="s">
        <v>17</v>
      </c>
    </row>
    <row r="159" spans="1:12">
      <c r="A159" s="36" t="s">
        <v>448</v>
      </c>
      <c r="B159" s="36" t="s">
        <v>449</v>
      </c>
      <c r="C159" s="37" t="s">
        <v>14</v>
      </c>
      <c r="D159" s="37" t="s">
        <v>15</v>
      </c>
      <c r="E159" s="37" t="s">
        <v>62</v>
      </c>
      <c r="F159" s="38">
        <v>46181</v>
      </c>
      <c r="G159" s="39">
        <v>46152</v>
      </c>
      <c r="H159" s="41">
        <v>43.57</v>
      </c>
      <c r="I159" s="41">
        <v>8.9700000000000006</v>
      </c>
      <c r="J159" s="39">
        <v>46184</v>
      </c>
      <c r="K159" s="36" t="s">
        <v>450</v>
      </c>
      <c r="L159" s="37" t="s">
        <v>17</v>
      </c>
    </row>
    <row r="160" spans="1:12">
      <c r="A160" s="36" t="s">
        <v>451</v>
      </c>
      <c r="B160" s="36" t="s">
        <v>452</v>
      </c>
      <c r="C160" s="37" t="s">
        <v>14</v>
      </c>
      <c r="D160" s="37" t="s">
        <v>15</v>
      </c>
      <c r="E160" s="37" t="s">
        <v>16</v>
      </c>
      <c r="F160" s="38">
        <v>46174</v>
      </c>
      <c r="G160" s="39">
        <v>46152</v>
      </c>
      <c r="H160" s="41">
        <v>19.38</v>
      </c>
      <c r="I160" s="41"/>
      <c r="J160" s="39">
        <v>46181</v>
      </c>
      <c r="L160" s="37" t="s">
        <v>17</v>
      </c>
    </row>
    <row r="161" spans="1:12">
      <c r="A161" s="36" t="s">
        <v>453</v>
      </c>
      <c r="B161" s="36" t="s">
        <v>454</v>
      </c>
      <c r="C161" s="37" t="s">
        <v>14</v>
      </c>
      <c r="D161" s="37" t="s">
        <v>15</v>
      </c>
      <c r="E161" s="37" t="s">
        <v>455</v>
      </c>
      <c r="F161" s="38">
        <v>46181</v>
      </c>
      <c r="G161" s="39">
        <v>46152</v>
      </c>
      <c r="H161" s="41">
        <v>50.55</v>
      </c>
      <c r="I161" s="41">
        <v>20.41</v>
      </c>
      <c r="J161" s="39">
        <v>46185</v>
      </c>
      <c r="K161" s="36" t="s">
        <v>456</v>
      </c>
      <c r="L161" s="37" t="s">
        <v>17</v>
      </c>
    </row>
    <row r="162" spans="1:12">
      <c r="A162" s="36" t="s">
        <v>457</v>
      </c>
      <c r="B162" s="36" t="s">
        <v>458</v>
      </c>
      <c r="C162" s="37" t="s">
        <v>14</v>
      </c>
      <c r="D162" s="37" t="s">
        <v>15</v>
      </c>
      <c r="E162" s="37" t="s">
        <v>62</v>
      </c>
      <c r="F162" s="38">
        <v>46175</v>
      </c>
      <c r="G162" s="39">
        <v>46152</v>
      </c>
      <c r="H162" s="41">
        <v>49.99</v>
      </c>
      <c r="I162" s="41">
        <v>10</v>
      </c>
      <c r="J162" s="39">
        <v>46178</v>
      </c>
      <c r="K162" s="36" t="s">
        <v>459</v>
      </c>
      <c r="L162" s="37" t="s">
        <v>17</v>
      </c>
    </row>
    <row r="163" spans="1:12">
      <c r="A163" s="36" t="s">
        <v>460</v>
      </c>
      <c r="B163" s="36" t="s">
        <v>461</v>
      </c>
      <c r="C163" s="37" t="s">
        <v>14</v>
      </c>
      <c r="D163" s="37" t="s">
        <v>15</v>
      </c>
      <c r="E163" s="37" t="s">
        <v>55</v>
      </c>
      <c r="F163" s="38">
        <v>46176</v>
      </c>
      <c r="G163" s="39">
        <v>46152</v>
      </c>
      <c r="H163" s="41">
        <v>51.45</v>
      </c>
      <c r="I163" s="41">
        <v>31.23</v>
      </c>
      <c r="J163" s="39">
        <v>46181</v>
      </c>
      <c r="K163" s="36" t="s">
        <v>462</v>
      </c>
      <c r="L163" s="37" t="s">
        <v>17</v>
      </c>
    </row>
    <row r="164" spans="1:12">
      <c r="A164" s="36" t="s">
        <v>463</v>
      </c>
      <c r="B164" s="36" t="s">
        <v>464</v>
      </c>
      <c r="C164" s="37" t="s">
        <v>14</v>
      </c>
      <c r="D164" s="37" t="s">
        <v>15</v>
      </c>
      <c r="E164" s="37" t="s">
        <v>16</v>
      </c>
      <c r="F164" s="38">
        <v>46174</v>
      </c>
      <c r="G164" s="39">
        <v>46152</v>
      </c>
      <c r="H164" s="41">
        <v>12.91</v>
      </c>
      <c r="I164" s="41"/>
      <c r="J164" s="39">
        <v>46181</v>
      </c>
      <c r="L164" s="37" t="s">
        <v>17</v>
      </c>
    </row>
    <row r="165" spans="1:12">
      <c r="A165" s="36" t="s">
        <v>465</v>
      </c>
      <c r="B165" s="36" t="s">
        <v>466</v>
      </c>
      <c r="C165" s="37" t="s">
        <v>14</v>
      </c>
      <c r="D165" s="37" t="s">
        <v>15</v>
      </c>
      <c r="E165" s="37" t="s">
        <v>467</v>
      </c>
      <c r="F165" s="38">
        <v>46175</v>
      </c>
      <c r="G165" s="39">
        <v>46152</v>
      </c>
      <c r="H165" s="41">
        <v>109.99</v>
      </c>
      <c r="I165" s="41">
        <v>22.61</v>
      </c>
      <c r="J165" s="39">
        <v>46177</v>
      </c>
      <c r="K165" s="36" t="s">
        <v>468</v>
      </c>
      <c r="L165" s="37" t="s">
        <v>17</v>
      </c>
    </row>
    <row r="166" spans="1:12">
      <c r="A166" s="36" t="s">
        <v>469</v>
      </c>
      <c r="B166" s="42" t="str">
        <f>"1.353038158"</f>
        <v>1.353038158</v>
      </c>
      <c r="C166" s="37" t="s">
        <v>14</v>
      </c>
      <c r="D166" s="37" t="s">
        <v>15</v>
      </c>
      <c r="E166" s="37" t="s">
        <v>58</v>
      </c>
      <c r="F166" s="38">
        <v>46176</v>
      </c>
      <c r="G166" s="39">
        <v>46152</v>
      </c>
      <c r="H166" s="41">
        <v>109.06</v>
      </c>
      <c r="I166" s="41">
        <v>44.93</v>
      </c>
      <c r="J166" s="39">
        <v>46188</v>
      </c>
      <c r="K166" s="36" t="s">
        <v>470</v>
      </c>
      <c r="L166" s="37" t="s">
        <v>17</v>
      </c>
    </row>
    <row r="167" spans="1:12">
      <c r="A167" s="36" t="s">
        <v>471</v>
      </c>
      <c r="B167" s="36" t="s">
        <v>472</v>
      </c>
      <c r="C167" s="37" t="s">
        <v>473</v>
      </c>
      <c r="D167" s="37" t="s">
        <v>15</v>
      </c>
      <c r="E167" s="37" t="s">
        <v>20</v>
      </c>
      <c r="F167" s="38">
        <v>46175</v>
      </c>
      <c r="G167" s="39">
        <v>46091</v>
      </c>
      <c r="H167" s="41">
        <v>498.6</v>
      </c>
      <c r="I167" s="41">
        <v>174.83</v>
      </c>
      <c r="J167" s="39">
        <v>46179</v>
      </c>
      <c r="K167" s="36" t="s">
        <v>474</v>
      </c>
      <c r="L167" s="37" t="s">
        <v>17</v>
      </c>
    </row>
    <row r="168" spans="1:12">
      <c r="A168" s="36" t="s">
        <v>475</v>
      </c>
      <c r="B168" s="36" t="s">
        <v>476</v>
      </c>
      <c r="C168" s="37" t="s">
        <v>473</v>
      </c>
      <c r="D168" s="37" t="s">
        <v>15</v>
      </c>
      <c r="E168" s="37" t="s">
        <v>20</v>
      </c>
      <c r="F168" s="38">
        <v>46175</v>
      </c>
      <c r="G168" s="39">
        <v>46091</v>
      </c>
      <c r="H168" s="41">
        <v>235.4</v>
      </c>
      <c r="I168" s="41">
        <v>34.86</v>
      </c>
      <c r="J168" s="39">
        <v>46179</v>
      </c>
      <c r="K168" s="36" t="s">
        <v>477</v>
      </c>
      <c r="L168" s="37" t="s">
        <v>17</v>
      </c>
    </row>
    <row r="169" spans="1:12">
      <c r="A169" s="36" t="s">
        <v>478</v>
      </c>
      <c r="B169" s="36" t="s">
        <v>479</v>
      </c>
      <c r="C169" s="37" t="s">
        <v>473</v>
      </c>
      <c r="D169" s="37" t="s">
        <v>15</v>
      </c>
      <c r="E169" s="37" t="s">
        <v>20</v>
      </c>
      <c r="F169" s="38">
        <v>46175</v>
      </c>
      <c r="G169" s="39">
        <v>46091</v>
      </c>
      <c r="H169" s="41">
        <v>139.97999999999999</v>
      </c>
      <c r="I169" s="41">
        <v>21.09</v>
      </c>
      <c r="J169" s="39">
        <v>46179</v>
      </c>
      <c r="K169" s="36" t="s">
        <v>480</v>
      </c>
      <c r="L169" s="37" t="s">
        <v>17</v>
      </c>
    </row>
    <row r="170" spans="1:12">
      <c r="A170" s="36" t="s">
        <v>481</v>
      </c>
      <c r="B170" s="36" t="s">
        <v>482</v>
      </c>
      <c r="C170" s="37" t="s">
        <v>473</v>
      </c>
      <c r="D170" s="37" t="s">
        <v>15</v>
      </c>
      <c r="E170" s="37" t="s">
        <v>20</v>
      </c>
      <c r="F170" s="38">
        <v>46175</v>
      </c>
      <c r="G170" s="39">
        <v>46091</v>
      </c>
      <c r="H170" s="41">
        <v>80.61</v>
      </c>
      <c r="I170" s="41">
        <v>12.11</v>
      </c>
      <c r="J170" s="39">
        <v>46179</v>
      </c>
      <c r="K170" s="36" t="s">
        <v>483</v>
      </c>
      <c r="L170" s="37" t="s">
        <v>17</v>
      </c>
    </row>
    <row r="171" spans="1:12">
      <c r="A171" s="36" t="s">
        <v>484</v>
      </c>
      <c r="B171" s="36" t="s">
        <v>485</v>
      </c>
      <c r="C171" s="37" t="s">
        <v>473</v>
      </c>
      <c r="D171" s="37" t="s">
        <v>15</v>
      </c>
      <c r="E171" s="37" t="s">
        <v>20</v>
      </c>
      <c r="F171" s="38">
        <v>46175</v>
      </c>
      <c r="G171" s="39">
        <v>46091</v>
      </c>
      <c r="H171" s="41">
        <v>199.98</v>
      </c>
      <c r="I171" s="41">
        <v>30.24</v>
      </c>
      <c r="J171" s="39">
        <v>46179</v>
      </c>
      <c r="K171" s="36" t="s">
        <v>486</v>
      </c>
      <c r="L171" s="37" t="s">
        <v>17</v>
      </c>
    </row>
    <row r="172" spans="1:12">
      <c r="A172" s="36" t="s">
        <v>487</v>
      </c>
      <c r="B172" s="40" t="str">
        <f>"1.353265607"</f>
        <v>1.353265607</v>
      </c>
      <c r="C172" s="37" t="s">
        <v>473</v>
      </c>
      <c r="D172" s="37" t="s">
        <v>15</v>
      </c>
      <c r="E172" s="37" t="s">
        <v>20</v>
      </c>
      <c r="F172" s="38">
        <v>46175</v>
      </c>
      <c r="G172" s="39">
        <v>46091</v>
      </c>
      <c r="H172" s="41">
        <v>157.97999999999999</v>
      </c>
      <c r="I172" s="41">
        <v>33.909999999999997</v>
      </c>
      <c r="J172" s="39">
        <v>46179</v>
      </c>
      <c r="K172" s="36" t="s">
        <v>488</v>
      </c>
      <c r="L172" s="37" t="s">
        <v>17</v>
      </c>
    </row>
    <row r="173" spans="1:12">
      <c r="A173" s="36" t="s">
        <v>489</v>
      </c>
      <c r="B173" s="36" t="s">
        <v>490</v>
      </c>
      <c r="C173" s="37" t="s">
        <v>473</v>
      </c>
      <c r="D173" s="37" t="s">
        <v>15</v>
      </c>
      <c r="E173" s="37" t="s">
        <v>20</v>
      </c>
      <c r="F173" s="38">
        <v>46175</v>
      </c>
      <c r="G173" s="39">
        <v>46091</v>
      </c>
      <c r="H173" s="41">
        <v>119.98</v>
      </c>
      <c r="I173" s="41">
        <v>35.450000000000003</v>
      </c>
      <c r="J173" s="39">
        <v>46179</v>
      </c>
      <c r="K173" s="36" t="s">
        <v>491</v>
      </c>
      <c r="L173" s="37" t="s">
        <v>17</v>
      </c>
    </row>
    <row r="174" spans="1:12">
      <c r="A174" s="36" t="s">
        <v>492</v>
      </c>
      <c r="B174" s="36" t="s">
        <v>493</v>
      </c>
      <c r="C174" s="37" t="s">
        <v>473</v>
      </c>
      <c r="D174" s="37" t="s">
        <v>15</v>
      </c>
      <c r="E174" s="37" t="s">
        <v>20</v>
      </c>
      <c r="F174" s="38">
        <v>46175</v>
      </c>
      <c r="G174" s="39">
        <v>46091</v>
      </c>
      <c r="H174" s="41">
        <v>1471.04</v>
      </c>
      <c r="I174" s="41">
        <v>216.66</v>
      </c>
      <c r="J174" s="39">
        <v>46179</v>
      </c>
      <c r="K174" s="36" t="s">
        <v>494</v>
      </c>
      <c r="L174" s="37" t="s">
        <v>17</v>
      </c>
    </row>
    <row r="175" spans="1:12">
      <c r="A175" s="36" t="s">
        <v>495</v>
      </c>
      <c r="B175" s="36" t="s">
        <v>496</v>
      </c>
      <c r="C175" s="37" t="s">
        <v>473</v>
      </c>
      <c r="D175" s="37" t="s">
        <v>15</v>
      </c>
      <c r="E175" s="37" t="s">
        <v>20</v>
      </c>
      <c r="F175" s="38">
        <v>46175</v>
      </c>
      <c r="G175" s="39">
        <v>46091</v>
      </c>
      <c r="H175" s="41">
        <v>115.56</v>
      </c>
      <c r="I175" s="41">
        <v>17.47</v>
      </c>
      <c r="J175" s="39">
        <v>46179</v>
      </c>
      <c r="K175" s="36" t="s">
        <v>497</v>
      </c>
      <c r="L175" s="37" t="s">
        <v>17</v>
      </c>
    </row>
    <row r="176" spans="1:12">
      <c r="A176" s="36" t="s">
        <v>498</v>
      </c>
      <c r="B176" s="36" t="s">
        <v>499</v>
      </c>
      <c r="C176" s="37" t="s">
        <v>473</v>
      </c>
      <c r="D176" s="37" t="s">
        <v>15</v>
      </c>
      <c r="E176" s="37" t="s">
        <v>20</v>
      </c>
      <c r="F176" s="38">
        <v>46175</v>
      </c>
      <c r="G176" s="39">
        <v>46091</v>
      </c>
      <c r="H176" s="41">
        <v>212.08</v>
      </c>
      <c r="I176" s="41">
        <v>303.41000000000003</v>
      </c>
      <c r="J176" s="39">
        <v>46179</v>
      </c>
      <c r="K176" s="36" t="s">
        <v>500</v>
      </c>
      <c r="L176" s="37" t="s">
        <v>17</v>
      </c>
    </row>
    <row r="177" spans="1:12">
      <c r="A177" s="36" t="s">
        <v>501</v>
      </c>
      <c r="B177" s="36" t="s">
        <v>502</v>
      </c>
      <c r="C177" s="37" t="s">
        <v>473</v>
      </c>
      <c r="D177" s="37" t="s">
        <v>15</v>
      </c>
      <c r="E177" s="37" t="s">
        <v>20</v>
      </c>
      <c r="F177" s="38">
        <v>46176</v>
      </c>
      <c r="G177" s="39">
        <v>46088</v>
      </c>
      <c r="H177" s="41">
        <v>92.99</v>
      </c>
      <c r="I177" s="41">
        <v>21.04</v>
      </c>
      <c r="J177" s="39">
        <v>46179</v>
      </c>
      <c r="K177" s="36" t="s">
        <v>503</v>
      </c>
      <c r="L177" s="37" t="s">
        <v>17</v>
      </c>
    </row>
    <row r="178" spans="1:12">
      <c r="A178" s="43" t="str">
        <f>"61194497000110"</f>
        <v>61194497000110</v>
      </c>
      <c r="B178" s="36" t="s">
        <v>504</v>
      </c>
      <c r="C178" s="37" t="s">
        <v>473</v>
      </c>
      <c r="D178" s="37" t="s">
        <v>15</v>
      </c>
      <c r="E178" s="37" t="s">
        <v>20</v>
      </c>
      <c r="F178" s="38">
        <v>46176</v>
      </c>
      <c r="G178" s="39">
        <v>46091</v>
      </c>
      <c r="H178" s="41">
        <v>85.06</v>
      </c>
      <c r="I178" s="41">
        <v>29.92</v>
      </c>
      <c r="J178" s="39">
        <v>46179</v>
      </c>
      <c r="K178" s="36" t="s">
        <v>505</v>
      </c>
      <c r="L178" s="37" t="s">
        <v>17</v>
      </c>
    </row>
    <row r="179" spans="1:12">
      <c r="A179" s="43" t="s">
        <v>506</v>
      </c>
      <c r="B179" s="36" t="s">
        <v>507</v>
      </c>
      <c r="C179" s="37" t="s">
        <v>473</v>
      </c>
      <c r="D179" s="37" t="s">
        <v>15</v>
      </c>
      <c r="E179" s="37" t="s">
        <v>20</v>
      </c>
      <c r="F179" s="38">
        <v>46176</v>
      </c>
      <c r="G179" s="39">
        <v>46091</v>
      </c>
      <c r="H179" s="41">
        <v>89.99</v>
      </c>
      <c r="I179" s="41">
        <v>26.61</v>
      </c>
      <c r="J179" s="39">
        <v>46179</v>
      </c>
      <c r="K179" s="36" t="s">
        <v>508</v>
      </c>
      <c r="L179" s="37" t="s">
        <v>17</v>
      </c>
    </row>
    <row r="180" spans="1:12">
      <c r="A180" s="43" t="s">
        <v>509</v>
      </c>
      <c r="B180" s="36" t="s">
        <v>510</v>
      </c>
      <c r="C180" s="37" t="s">
        <v>473</v>
      </c>
      <c r="D180" s="37" t="s">
        <v>15</v>
      </c>
      <c r="E180" s="37" t="s">
        <v>20</v>
      </c>
      <c r="F180" s="38">
        <v>46176</v>
      </c>
      <c r="G180" s="39">
        <v>46091</v>
      </c>
      <c r="H180" s="41">
        <v>85.09</v>
      </c>
      <c r="I180" s="41">
        <v>29.25</v>
      </c>
      <c r="J180" s="39">
        <v>46179</v>
      </c>
      <c r="K180" s="36" t="s">
        <v>511</v>
      </c>
      <c r="L180" s="37" t="s">
        <v>17</v>
      </c>
    </row>
    <row r="181" spans="1:12">
      <c r="A181" s="43" t="s">
        <v>512</v>
      </c>
      <c r="B181" s="36" t="s">
        <v>513</v>
      </c>
      <c r="C181" s="37" t="s">
        <v>473</v>
      </c>
      <c r="D181" s="37" t="s">
        <v>15</v>
      </c>
      <c r="E181" s="37" t="s">
        <v>20</v>
      </c>
      <c r="F181" s="38">
        <v>46176</v>
      </c>
      <c r="G181" s="39">
        <v>46091</v>
      </c>
      <c r="H181" s="41">
        <v>79.58</v>
      </c>
      <c r="I181" s="41">
        <v>13.53</v>
      </c>
      <c r="J181" s="39">
        <v>46179</v>
      </c>
      <c r="K181" s="36" t="s">
        <v>514</v>
      </c>
      <c r="L181" s="37" t="s">
        <v>17</v>
      </c>
    </row>
    <row r="182" spans="1:12">
      <c r="A182" s="43" t="s">
        <v>515</v>
      </c>
      <c r="B182" s="36" t="s">
        <v>516</v>
      </c>
      <c r="C182" s="37" t="s">
        <v>473</v>
      </c>
      <c r="D182" s="37" t="s">
        <v>15</v>
      </c>
      <c r="E182" s="37" t="s">
        <v>20</v>
      </c>
      <c r="F182" s="38">
        <v>46177</v>
      </c>
      <c r="G182" s="39">
        <v>46091</v>
      </c>
      <c r="H182" s="41">
        <v>49.99</v>
      </c>
      <c r="I182" s="41">
        <v>7.54</v>
      </c>
      <c r="J182" s="39">
        <v>46182</v>
      </c>
      <c r="K182" s="36" t="s">
        <v>517</v>
      </c>
      <c r="L182" s="37" t="s">
        <v>17</v>
      </c>
    </row>
    <row r="183" spans="1:12">
      <c r="A183" s="43" t="s">
        <v>518</v>
      </c>
      <c r="B183" s="36" t="s">
        <v>519</v>
      </c>
      <c r="C183" s="37" t="s">
        <v>473</v>
      </c>
      <c r="D183" s="37" t="s">
        <v>15</v>
      </c>
      <c r="E183" s="37" t="s">
        <v>20</v>
      </c>
      <c r="F183" s="38">
        <v>46177</v>
      </c>
      <c r="G183" s="39">
        <v>46091</v>
      </c>
      <c r="H183" s="41">
        <v>69.989999999999995</v>
      </c>
      <c r="I183" s="41">
        <v>10.67</v>
      </c>
      <c r="J183" s="39">
        <v>46182</v>
      </c>
      <c r="K183" s="36" t="s">
        <v>520</v>
      </c>
      <c r="L183" s="37" t="s">
        <v>17</v>
      </c>
    </row>
    <row r="184" spans="1:12">
      <c r="A184" s="43" t="s">
        <v>521</v>
      </c>
      <c r="B184" s="36" t="s">
        <v>522</v>
      </c>
      <c r="C184" s="37" t="s">
        <v>473</v>
      </c>
      <c r="D184" s="37" t="s">
        <v>15</v>
      </c>
      <c r="E184" s="37" t="s">
        <v>20</v>
      </c>
      <c r="F184" s="38">
        <v>46177</v>
      </c>
      <c r="G184" s="39">
        <v>46091</v>
      </c>
      <c r="H184" s="41">
        <v>53.99</v>
      </c>
      <c r="I184" s="41">
        <v>8.1999999999999993</v>
      </c>
      <c r="J184" s="39">
        <v>46182</v>
      </c>
      <c r="K184" s="36" t="s">
        <v>523</v>
      </c>
      <c r="L184" s="37" t="s">
        <v>17</v>
      </c>
    </row>
    <row r="185" spans="1:12">
      <c r="A185" s="43" t="s">
        <v>524</v>
      </c>
      <c r="B185" s="36" t="s">
        <v>525</v>
      </c>
      <c r="C185" s="37" t="s">
        <v>473</v>
      </c>
      <c r="D185" s="37" t="s">
        <v>15</v>
      </c>
      <c r="E185" s="37" t="s">
        <v>20</v>
      </c>
      <c r="F185" s="38">
        <v>46177</v>
      </c>
      <c r="G185" s="39">
        <v>46091</v>
      </c>
      <c r="H185" s="41">
        <v>55.21</v>
      </c>
      <c r="I185" s="41">
        <v>8.11</v>
      </c>
      <c r="J185" s="39">
        <v>46182</v>
      </c>
      <c r="K185" s="36" t="s">
        <v>526</v>
      </c>
      <c r="L185" s="37" t="s">
        <v>17</v>
      </c>
    </row>
    <row r="186" spans="1:12">
      <c r="A186" s="43" t="s">
        <v>527</v>
      </c>
      <c r="B186" s="36" t="s">
        <v>528</v>
      </c>
      <c r="C186" s="37" t="s">
        <v>473</v>
      </c>
      <c r="D186" s="37" t="s">
        <v>15</v>
      </c>
      <c r="E186" s="37" t="s">
        <v>20</v>
      </c>
      <c r="F186" s="38">
        <v>46177</v>
      </c>
      <c r="G186" s="39">
        <v>46091</v>
      </c>
      <c r="H186" s="41">
        <v>56.53</v>
      </c>
      <c r="I186" s="41">
        <v>38.69</v>
      </c>
      <c r="J186" s="39">
        <v>46182</v>
      </c>
      <c r="K186" s="36" t="s">
        <v>529</v>
      </c>
      <c r="L186" s="37" t="s">
        <v>17</v>
      </c>
    </row>
    <row r="187" spans="1:12">
      <c r="A187" s="43" t="s">
        <v>530</v>
      </c>
      <c r="B187" s="36" t="s">
        <v>531</v>
      </c>
      <c r="C187" s="37" t="s">
        <v>473</v>
      </c>
      <c r="D187" s="37" t="s">
        <v>15</v>
      </c>
      <c r="E187" s="37" t="s">
        <v>20</v>
      </c>
      <c r="F187" s="38">
        <v>46177</v>
      </c>
      <c r="G187" s="39">
        <v>46096</v>
      </c>
      <c r="H187" s="41">
        <v>552.61</v>
      </c>
      <c r="I187" s="41">
        <v>153.30000000000001</v>
      </c>
      <c r="J187" s="39">
        <v>46182</v>
      </c>
      <c r="K187" s="36" t="s">
        <v>532</v>
      </c>
      <c r="L187" s="37" t="s">
        <v>17</v>
      </c>
    </row>
    <row r="188" spans="1:12">
      <c r="A188" s="43" t="s">
        <v>533</v>
      </c>
      <c r="B188" s="36" t="s">
        <v>534</v>
      </c>
      <c r="C188" s="37" t="s">
        <v>473</v>
      </c>
      <c r="D188" s="37" t="s">
        <v>15</v>
      </c>
      <c r="E188" s="37" t="s">
        <v>20</v>
      </c>
      <c r="F188" s="38">
        <v>46177</v>
      </c>
      <c r="G188" s="39">
        <v>46096</v>
      </c>
      <c r="H188" s="41">
        <v>993.38</v>
      </c>
      <c r="I188" s="41">
        <v>341.11</v>
      </c>
      <c r="J188" s="39">
        <v>46182</v>
      </c>
      <c r="K188" s="36" t="s">
        <v>535</v>
      </c>
      <c r="L188" s="37" t="s">
        <v>17</v>
      </c>
    </row>
    <row r="189" spans="1:12">
      <c r="A189" s="43" t="s">
        <v>536</v>
      </c>
      <c r="B189" s="36" t="s">
        <v>537</v>
      </c>
      <c r="C189" s="37" t="s">
        <v>473</v>
      </c>
      <c r="D189" s="37" t="s">
        <v>15</v>
      </c>
      <c r="E189" s="37" t="s">
        <v>20</v>
      </c>
      <c r="F189" s="38">
        <v>46177</v>
      </c>
      <c r="G189" s="39">
        <v>46096</v>
      </c>
      <c r="H189" s="41">
        <v>251.07</v>
      </c>
      <c r="I189" s="41">
        <v>71.650000000000006</v>
      </c>
      <c r="J189" s="39">
        <v>46182</v>
      </c>
      <c r="K189" s="36" t="s">
        <v>538</v>
      </c>
      <c r="L189" s="37" t="s">
        <v>17</v>
      </c>
    </row>
    <row r="190" spans="1:12">
      <c r="A190" s="43" t="s">
        <v>539</v>
      </c>
      <c r="B190" s="36" t="s">
        <v>540</v>
      </c>
      <c r="C190" s="37" t="s">
        <v>473</v>
      </c>
      <c r="D190" s="37" t="s">
        <v>15</v>
      </c>
      <c r="E190" s="37" t="s">
        <v>20</v>
      </c>
      <c r="F190" s="38">
        <v>46177</v>
      </c>
      <c r="G190" s="39">
        <v>46096</v>
      </c>
      <c r="H190" s="41">
        <v>236.92</v>
      </c>
      <c r="I190" s="41">
        <v>73.09</v>
      </c>
      <c r="J190" s="39">
        <v>46182</v>
      </c>
      <c r="K190" s="36" t="s">
        <v>541</v>
      </c>
      <c r="L190" s="37" t="s">
        <v>17</v>
      </c>
    </row>
    <row r="191" spans="1:12">
      <c r="A191" s="43" t="str">
        <f>"11515359000118"</f>
        <v>11515359000118</v>
      </c>
      <c r="B191" s="36" t="s">
        <v>542</v>
      </c>
      <c r="C191" s="37" t="s">
        <v>473</v>
      </c>
      <c r="D191" s="37" t="s">
        <v>15</v>
      </c>
      <c r="E191" s="37" t="s">
        <v>20</v>
      </c>
      <c r="F191" s="38">
        <v>46177</v>
      </c>
      <c r="G191" s="39">
        <v>46096</v>
      </c>
      <c r="H191" s="41">
        <v>238.36</v>
      </c>
      <c r="I191" s="41">
        <v>77.2</v>
      </c>
      <c r="J191" s="39">
        <v>46182</v>
      </c>
      <c r="K191" s="36" t="s">
        <v>543</v>
      </c>
      <c r="L191" s="37" t="s">
        <v>17</v>
      </c>
    </row>
    <row r="192" spans="1:12">
      <c r="A192" s="36" t="s">
        <v>544</v>
      </c>
      <c r="B192" s="36" t="s">
        <v>545</v>
      </c>
      <c r="C192" s="37" t="s">
        <v>473</v>
      </c>
      <c r="D192" s="37" t="s">
        <v>15</v>
      </c>
      <c r="E192" s="37" t="s">
        <v>20</v>
      </c>
      <c r="F192" s="38">
        <v>46178</v>
      </c>
      <c r="G192" s="39">
        <v>46096</v>
      </c>
      <c r="H192" s="41">
        <v>265.52</v>
      </c>
      <c r="I192" s="41">
        <v>82.48</v>
      </c>
      <c r="J192" s="39">
        <v>46182</v>
      </c>
      <c r="K192" s="36" t="s">
        <v>546</v>
      </c>
      <c r="L192" s="37" t="s">
        <v>17</v>
      </c>
    </row>
    <row r="193" spans="1:12">
      <c r="A193" s="36" t="s">
        <v>547</v>
      </c>
      <c r="B193" s="36" t="s">
        <v>548</v>
      </c>
      <c r="C193" s="37" t="s">
        <v>473</v>
      </c>
      <c r="D193" s="37" t="s">
        <v>15</v>
      </c>
      <c r="E193" s="37" t="s">
        <v>20</v>
      </c>
      <c r="F193" s="38">
        <v>46178</v>
      </c>
      <c r="G193" s="39">
        <v>46096</v>
      </c>
      <c r="H193" s="44">
        <v>149.99</v>
      </c>
      <c r="I193" s="41">
        <v>21.99</v>
      </c>
      <c r="J193" s="39">
        <v>46182</v>
      </c>
      <c r="K193" s="36" t="s">
        <v>549</v>
      </c>
      <c r="L193" s="37" t="s">
        <v>17</v>
      </c>
    </row>
    <row r="194" spans="1:12">
      <c r="A194" s="36" t="s">
        <v>550</v>
      </c>
      <c r="B194" s="36" t="s">
        <v>551</v>
      </c>
      <c r="C194" s="37" t="s">
        <v>473</v>
      </c>
      <c r="D194" s="37" t="s">
        <v>15</v>
      </c>
      <c r="E194" s="37" t="s">
        <v>20</v>
      </c>
      <c r="F194" s="38">
        <v>46178</v>
      </c>
      <c r="G194" s="39">
        <v>46096</v>
      </c>
      <c r="H194" s="44">
        <v>179.98</v>
      </c>
      <c r="I194" s="41">
        <v>26.39</v>
      </c>
      <c r="J194" s="39">
        <v>46182</v>
      </c>
      <c r="K194" s="36" t="s">
        <v>552</v>
      </c>
      <c r="L194" s="37" t="s">
        <v>17</v>
      </c>
    </row>
    <row r="195" spans="1:12">
      <c r="A195" s="36" t="s">
        <v>553</v>
      </c>
      <c r="B195" s="36" t="s">
        <v>554</v>
      </c>
      <c r="C195" s="37" t="s">
        <v>473</v>
      </c>
      <c r="D195" s="37" t="s">
        <v>15</v>
      </c>
      <c r="E195" s="37" t="s">
        <v>20</v>
      </c>
      <c r="F195" s="38">
        <v>46178</v>
      </c>
      <c r="G195" s="39">
        <v>46096</v>
      </c>
      <c r="H195" s="44">
        <v>149.99</v>
      </c>
      <c r="I195" s="41">
        <v>21.99</v>
      </c>
      <c r="J195" s="39">
        <v>46182</v>
      </c>
      <c r="K195" s="36" t="s">
        <v>555</v>
      </c>
      <c r="L195" s="37" t="s">
        <v>17</v>
      </c>
    </row>
    <row r="196" spans="1:12">
      <c r="A196" s="36" t="s">
        <v>556</v>
      </c>
      <c r="B196" s="36" t="s">
        <v>557</v>
      </c>
      <c r="C196" s="37" t="s">
        <v>473</v>
      </c>
      <c r="D196" s="37" t="s">
        <v>15</v>
      </c>
      <c r="E196" s="37" t="s">
        <v>20</v>
      </c>
      <c r="F196" s="38">
        <v>46178</v>
      </c>
      <c r="G196" s="39">
        <v>46096</v>
      </c>
      <c r="H196" s="44">
        <v>201.74</v>
      </c>
      <c r="I196" s="41">
        <v>58.61</v>
      </c>
      <c r="J196" s="39">
        <v>46182</v>
      </c>
      <c r="K196" s="36" t="s">
        <v>558</v>
      </c>
      <c r="L196" s="37" t="s">
        <v>17</v>
      </c>
    </row>
    <row r="197" spans="1:12">
      <c r="A197" s="36" t="s">
        <v>559</v>
      </c>
      <c r="B197" s="36" t="s">
        <v>560</v>
      </c>
      <c r="C197" s="37" t="s">
        <v>473</v>
      </c>
      <c r="D197" s="37" t="s">
        <v>15</v>
      </c>
      <c r="E197" s="37" t="s">
        <v>20</v>
      </c>
      <c r="F197" s="38">
        <v>46178</v>
      </c>
      <c r="G197" s="39">
        <v>46096</v>
      </c>
      <c r="H197" s="44">
        <v>151.72999999999999</v>
      </c>
      <c r="I197" s="41">
        <v>44.02</v>
      </c>
      <c r="J197" s="39">
        <v>46182</v>
      </c>
      <c r="K197" s="36" t="s">
        <v>561</v>
      </c>
      <c r="L197" s="37" t="s">
        <v>17</v>
      </c>
    </row>
    <row r="198" spans="1:12">
      <c r="A198" s="36" t="s">
        <v>562</v>
      </c>
      <c r="B198" s="36" t="s">
        <v>563</v>
      </c>
      <c r="C198" s="37" t="s">
        <v>473</v>
      </c>
      <c r="D198" s="37" t="s">
        <v>15</v>
      </c>
      <c r="E198" s="37" t="s">
        <v>20</v>
      </c>
      <c r="F198" s="38">
        <v>46178</v>
      </c>
      <c r="G198" s="39">
        <v>46096</v>
      </c>
      <c r="H198" s="44">
        <v>125.57</v>
      </c>
      <c r="I198" s="41">
        <v>36.299999999999997</v>
      </c>
      <c r="J198" s="39">
        <v>46182</v>
      </c>
      <c r="K198" s="36" t="s">
        <v>564</v>
      </c>
      <c r="L198" s="37" t="s">
        <v>17</v>
      </c>
    </row>
    <row r="199" spans="1:12" s="45" customFormat="1">
      <c r="A199" s="45" t="s">
        <v>565</v>
      </c>
      <c r="B199" s="45" t="s">
        <v>566</v>
      </c>
      <c r="C199" s="46" t="s">
        <v>473</v>
      </c>
      <c r="D199" s="46" t="s">
        <v>15</v>
      </c>
      <c r="E199" s="46" t="s">
        <v>20</v>
      </c>
      <c r="F199" s="47">
        <v>46178</v>
      </c>
      <c r="G199" s="39">
        <v>46096</v>
      </c>
      <c r="H199" s="49">
        <v>150.16</v>
      </c>
      <c r="I199" s="53">
        <v>44.33</v>
      </c>
      <c r="J199" s="48">
        <v>46182</v>
      </c>
      <c r="K199" s="45" t="s">
        <v>567</v>
      </c>
      <c r="L199" s="46" t="s">
        <v>17</v>
      </c>
    </row>
    <row r="200" spans="1:12">
      <c r="A200" s="36" t="s">
        <v>568</v>
      </c>
      <c r="B200" s="36" t="s">
        <v>569</v>
      </c>
      <c r="C200" s="37" t="s">
        <v>473</v>
      </c>
      <c r="D200" s="37" t="s">
        <v>15</v>
      </c>
      <c r="E200" s="37" t="s">
        <v>20</v>
      </c>
      <c r="F200" s="38">
        <v>46178</v>
      </c>
      <c r="G200" s="39">
        <v>46096</v>
      </c>
      <c r="H200" s="44">
        <v>217.61</v>
      </c>
      <c r="I200" s="41">
        <v>32.79</v>
      </c>
      <c r="J200" s="39">
        <v>46182</v>
      </c>
      <c r="K200" s="36" t="s">
        <v>570</v>
      </c>
      <c r="L200" s="37" t="s">
        <v>17</v>
      </c>
    </row>
    <row r="201" spans="1:12">
      <c r="A201" s="36" t="s">
        <v>571</v>
      </c>
      <c r="B201" s="36" t="s">
        <v>572</v>
      </c>
      <c r="C201" s="37" t="s">
        <v>473</v>
      </c>
      <c r="D201" s="37" t="s">
        <v>15</v>
      </c>
      <c r="E201" s="37" t="s">
        <v>20</v>
      </c>
      <c r="F201" s="38">
        <v>46178</v>
      </c>
      <c r="G201" s="39">
        <v>46096</v>
      </c>
      <c r="H201" s="41">
        <v>149.99</v>
      </c>
      <c r="I201" s="41">
        <v>66.650000000000006</v>
      </c>
      <c r="J201" s="39">
        <v>46182</v>
      </c>
      <c r="K201" s="36" t="s">
        <v>573</v>
      </c>
      <c r="L201" s="37" t="s">
        <v>17</v>
      </c>
    </row>
    <row r="202" spans="1:12">
      <c r="A202" s="36" t="s">
        <v>574</v>
      </c>
      <c r="B202" s="36" t="s">
        <v>575</v>
      </c>
      <c r="C202" s="37" t="s">
        <v>473</v>
      </c>
      <c r="D202" s="37" t="s">
        <v>15</v>
      </c>
      <c r="E202" s="37" t="s">
        <v>20</v>
      </c>
      <c r="F202" s="38">
        <v>46181</v>
      </c>
      <c r="G202" s="39">
        <v>46096</v>
      </c>
      <c r="H202" s="41">
        <v>100.48</v>
      </c>
      <c r="I202" s="41">
        <v>29.62</v>
      </c>
      <c r="J202" s="39">
        <v>46186</v>
      </c>
      <c r="K202" s="36" t="s">
        <v>576</v>
      </c>
      <c r="L202" s="37" t="s">
        <v>17</v>
      </c>
    </row>
    <row r="203" spans="1:12">
      <c r="A203" s="36" t="s">
        <v>577</v>
      </c>
      <c r="B203" s="36" t="s">
        <v>578</v>
      </c>
      <c r="C203" s="37" t="s">
        <v>473</v>
      </c>
      <c r="D203" s="37" t="s">
        <v>15</v>
      </c>
      <c r="E203" s="37" t="s">
        <v>20</v>
      </c>
      <c r="F203" s="38">
        <v>46181</v>
      </c>
      <c r="G203" s="39">
        <v>46096</v>
      </c>
      <c r="H203" s="41">
        <v>386.97</v>
      </c>
      <c r="I203" s="41">
        <v>121.49</v>
      </c>
      <c r="J203" s="39">
        <v>46186</v>
      </c>
      <c r="K203" s="36" t="s">
        <v>579</v>
      </c>
      <c r="L203" s="37" t="s">
        <v>17</v>
      </c>
    </row>
    <row r="204" spans="1:12">
      <c r="A204" s="36" t="s">
        <v>580</v>
      </c>
      <c r="B204" s="36" t="s">
        <v>581</v>
      </c>
      <c r="C204" s="37" t="s">
        <v>473</v>
      </c>
      <c r="D204" s="37" t="s">
        <v>15</v>
      </c>
      <c r="E204" s="37" t="s">
        <v>20</v>
      </c>
      <c r="F204" s="38">
        <v>46181</v>
      </c>
      <c r="G204" s="39">
        <v>46096</v>
      </c>
      <c r="H204" s="41">
        <v>127.49</v>
      </c>
      <c r="I204" s="41">
        <v>41.97</v>
      </c>
      <c r="J204" s="39">
        <v>46186</v>
      </c>
      <c r="K204" s="36" t="s">
        <v>582</v>
      </c>
      <c r="L204" s="37" t="s">
        <v>17</v>
      </c>
    </row>
    <row r="205" spans="1:12">
      <c r="A205" s="36" t="s">
        <v>583</v>
      </c>
      <c r="B205" s="36" t="s">
        <v>584</v>
      </c>
      <c r="C205" s="37" t="s">
        <v>473</v>
      </c>
      <c r="D205" s="37" t="s">
        <v>15</v>
      </c>
      <c r="E205" s="37" t="s">
        <v>20</v>
      </c>
      <c r="F205" s="38">
        <v>46181</v>
      </c>
      <c r="G205" s="39">
        <v>46096</v>
      </c>
      <c r="H205" s="41">
        <v>275.33999999999997</v>
      </c>
      <c r="I205" s="41">
        <v>40.409999999999997</v>
      </c>
      <c r="J205" s="39">
        <v>46186</v>
      </c>
      <c r="K205" s="36" t="s">
        <v>585</v>
      </c>
      <c r="L205" s="37" t="s">
        <v>17</v>
      </c>
    </row>
    <row r="206" spans="1:12">
      <c r="A206" s="36" t="s">
        <v>586</v>
      </c>
      <c r="B206" s="36" t="s">
        <v>587</v>
      </c>
      <c r="C206" s="37" t="s">
        <v>473</v>
      </c>
      <c r="D206" s="37" t="s">
        <v>15</v>
      </c>
      <c r="E206" s="37" t="s">
        <v>20</v>
      </c>
      <c r="F206" s="38">
        <v>46181</v>
      </c>
      <c r="G206" s="39">
        <v>46096</v>
      </c>
      <c r="H206" s="41">
        <v>102.46</v>
      </c>
      <c r="I206" s="41">
        <v>15.53</v>
      </c>
      <c r="J206" s="39">
        <v>46186</v>
      </c>
      <c r="K206" s="36" t="s">
        <v>588</v>
      </c>
      <c r="L206" s="37" t="s">
        <v>17</v>
      </c>
    </row>
    <row r="207" spans="1:12">
      <c r="A207" s="36" t="s">
        <v>589</v>
      </c>
      <c r="B207" s="36" t="s">
        <v>590</v>
      </c>
      <c r="C207" s="37" t="s">
        <v>473</v>
      </c>
      <c r="D207" s="37" t="s">
        <v>15</v>
      </c>
      <c r="E207" s="37" t="s">
        <v>20</v>
      </c>
      <c r="F207" s="38">
        <v>46181</v>
      </c>
      <c r="G207" s="39">
        <v>46096</v>
      </c>
      <c r="H207" s="41">
        <v>149.99</v>
      </c>
      <c r="I207" s="41">
        <v>23.05</v>
      </c>
      <c r="J207" s="39">
        <v>46186</v>
      </c>
      <c r="K207" s="36" t="s">
        <v>591</v>
      </c>
      <c r="L207" s="37" t="s">
        <v>17</v>
      </c>
    </row>
    <row r="208" spans="1:12">
      <c r="A208" s="36" t="s">
        <v>592</v>
      </c>
      <c r="B208" s="36" t="s">
        <v>593</v>
      </c>
      <c r="C208" s="37" t="s">
        <v>473</v>
      </c>
      <c r="D208" s="37" t="s">
        <v>15</v>
      </c>
      <c r="E208" s="37" t="s">
        <v>20</v>
      </c>
      <c r="F208" s="38">
        <v>46181</v>
      </c>
      <c r="G208" s="39">
        <v>46096</v>
      </c>
      <c r="H208" s="41">
        <v>104.7</v>
      </c>
      <c r="I208" s="41">
        <v>30.2</v>
      </c>
      <c r="J208" s="39">
        <v>46186</v>
      </c>
      <c r="K208" s="36" t="s">
        <v>594</v>
      </c>
      <c r="L208" s="37" t="s">
        <v>17</v>
      </c>
    </row>
    <row r="209" spans="1:12">
      <c r="A209" s="36" t="s">
        <v>595</v>
      </c>
      <c r="B209" s="36" t="s">
        <v>596</v>
      </c>
      <c r="C209" s="37" t="s">
        <v>473</v>
      </c>
      <c r="D209" s="37" t="s">
        <v>15</v>
      </c>
      <c r="E209" s="37" t="s">
        <v>20</v>
      </c>
      <c r="F209" s="38">
        <v>46181</v>
      </c>
      <c r="G209" s="39">
        <v>46096</v>
      </c>
      <c r="H209" s="41">
        <v>103.18</v>
      </c>
      <c r="I209" s="41">
        <v>15.51</v>
      </c>
      <c r="J209" s="39">
        <v>46186</v>
      </c>
      <c r="K209" s="36" t="s">
        <v>597</v>
      </c>
      <c r="L209" s="37" t="s">
        <v>17</v>
      </c>
    </row>
    <row r="210" spans="1:12">
      <c r="A210" s="36" t="s">
        <v>598</v>
      </c>
      <c r="B210" s="36" t="s">
        <v>599</v>
      </c>
      <c r="C210" s="37" t="s">
        <v>473</v>
      </c>
      <c r="D210" s="37" t="s">
        <v>15</v>
      </c>
      <c r="E210" s="37" t="s">
        <v>20</v>
      </c>
      <c r="F210" s="38">
        <v>46181</v>
      </c>
      <c r="G210" s="39">
        <v>46096</v>
      </c>
      <c r="H210" s="41">
        <v>102.16</v>
      </c>
      <c r="I210" s="41">
        <v>15.48</v>
      </c>
      <c r="J210" s="39">
        <v>46186</v>
      </c>
      <c r="K210" s="36" t="s">
        <v>600</v>
      </c>
      <c r="L210" s="37" t="s">
        <v>17</v>
      </c>
    </row>
    <row r="211" spans="1:12">
      <c r="A211" s="36" t="s">
        <v>601</v>
      </c>
      <c r="B211" s="36" t="s">
        <v>602</v>
      </c>
      <c r="C211" s="37" t="s">
        <v>473</v>
      </c>
      <c r="D211" s="37" t="s">
        <v>15</v>
      </c>
      <c r="E211" s="37" t="s">
        <v>20</v>
      </c>
      <c r="F211" s="38">
        <v>46181</v>
      </c>
      <c r="G211" s="39">
        <v>46096</v>
      </c>
      <c r="H211" s="41">
        <v>99.99</v>
      </c>
      <c r="I211" s="41">
        <v>60.63</v>
      </c>
      <c r="J211" s="39">
        <v>46186</v>
      </c>
      <c r="K211" s="36" t="s">
        <v>603</v>
      </c>
      <c r="L211" s="37" t="s">
        <v>17</v>
      </c>
    </row>
    <row r="212" spans="1:12">
      <c r="A212" s="43" t="s">
        <v>604</v>
      </c>
      <c r="B212" s="36" t="s">
        <v>605</v>
      </c>
      <c r="C212" s="37" t="s">
        <v>14</v>
      </c>
      <c r="D212" s="37" t="s">
        <v>15</v>
      </c>
      <c r="E212" s="37" t="s">
        <v>16</v>
      </c>
      <c r="F212" s="38">
        <v>46181</v>
      </c>
      <c r="G212" s="39">
        <v>46152</v>
      </c>
      <c r="H212" s="44">
        <v>7.11</v>
      </c>
      <c r="I212" s="41">
        <f>H212</f>
        <v>7.11</v>
      </c>
      <c r="J212" s="39">
        <v>46184</v>
      </c>
      <c r="L212" s="37" t="s">
        <v>17</v>
      </c>
    </row>
    <row r="213" spans="1:12">
      <c r="A213" s="43" t="s">
        <v>606</v>
      </c>
      <c r="B213" s="36" t="s">
        <v>607</v>
      </c>
      <c r="C213" s="37" t="s">
        <v>14</v>
      </c>
      <c r="D213" s="37" t="s">
        <v>15</v>
      </c>
      <c r="E213" s="37" t="s">
        <v>16</v>
      </c>
      <c r="F213" s="38">
        <v>46181</v>
      </c>
      <c r="G213" s="39">
        <v>46152</v>
      </c>
      <c r="H213" s="44">
        <v>10.68</v>
      </c>
      <c r="I213" s="41">
        <f>H213</f>
        <v>10.68</v>
      </c>
      <c r="J213" s="39">
        <v>46184</v>
      </c>
      <c r="L213" s="37" t="s">
        <v>17</v>
      </c>
    </row>
    <row r="214" spans="1:12">
      <c r="A214" s="43" t="s">
        <v>608</v>
      </c>
      <c r="B214" s="36" t="s">
        <v>609</v>
      </c>
      <c r="C214" s="37" t="s">
        <v>14</v>
      </c>
      <c r="D214" s="37" t="s">
        <v>15</v>
      </c>
      <c r="E214" s="37" t="s">
        <v>16</v>
      </c>
      <c r="F214" s="38">
        <v>46181</v>
      </c>
      <c r="G214" s="39">
        <v>46152</v>
      </c>
      <c r="H214" s="44">
        <v>3.58</v>
      </c>
      <c r="I214" s="41">
        <f>H214</f>
        <v>3.58</v>
      </c>
      <c r="J214" s="39">
        <v>46184</v>
      </c>
      <c r="L214" s="37" t="s">
        <v>17</v>
      </c>
    </row>
    <row r="215" spans="1:12">
      <c r="A215" s="36" t="s">
        <v>610</v>
      </c>
      <c r="B215" s="36" t="s">
        <v>611</v>
      </c>
      <c r="C215" s="37" t="s">
        <v>473</v>
      </c>
      <c r="D215" s="37" t="s">
        <v>15</v>
      </c>
      <c r="E215" s="37" t="s">
        <v>20</v>
      </c>
      <c r="F215" s="38">
        <v>46182</v>
      </c>
      <c r="G215" s="39">
        <v>46096</v>
      </c>
      <c r="H215" s="41">
        <v>90.83</v>
      </c>
      <c r="I215" s="41">
        <v>27.88</v>
      </c>
      <c r="J215" s="39">
        <v>46188</v>
      </c>
      <c r="K215" s="36" t="s">
        <v>612</v>
      </c>
      <c r="L215" s="37" t="s">
        <v>17</v>
      </c>
    </row>
    <row r="216" spans="1:12">
      <c r="A216" s="36" t="s">
        <v>613</v>
      </c>
      <c r="B216" s="36" t="s">
        <v>614</v>
      </c>
      <c r="C216" s="37" t="s">
        <v>473</v>
      </c>
      <c r="D216" s="37" t="s">
        <v>15</v>
      </c>
      <c r="E216" s="37" t="s">
        <v>20</v>
      </c>
      <c r="F216" s="38">
        <v>46182</v>
      </c>
      <c r="G216" s="39">
        <v>46096</v>
      </c>
      <c r="H216" s="41">
        <v>90.83</v>
      </c>
      <c r="I216" s="41">
        <v>27.88</v>
      </c>
      <c r="J216" s="39">
        <v>46188</v>
      </c>
      <c r="K216" s="36" t="s">
        <v>615</v>
      </c>
      <c r="L216" s="37" t="s">
        <v>17</v>
      </c>
    </row>
    <row r="217" spans="1:12">
      <c r="A217" s="36" t="s">
        <v>616</v>
      </c>
      <c r="B217" s="36" t="s">
        <v>617</v>
      </c>
      <c r="C217" s="37" t="s">
        <v>473</v>
      </c>
      <c r="D217" s="37" t="s">
        <v>15</v>
      </c>
      <c r="E217" s="37" t="s">
        <v>20</v>
      </c>
      <c r="F217" s="38">
        <v>46182</v>
      </c>
      <c r="G217" s="39">
        <v>46096</v>
      </c>
      <c r="H217" s="41">
        <v>90.83</v>
      </c>
      <c r="I217" s="41">
        <v>27.88</v>
      </c>
      <c r="J217" s="39">
        <v>46188</v>
      </c>
      <c r="K217" s="36" t="s">
        <v>618</v>
      </c>
      <c r="L217" s="37" t="s">
        <v>17</v>
      </c>
    </row>
    <row r="218" spans="1:12">
      <c r="A218" s="36" t="s">
        <v>619</v>
      </c>
      <c r="B218" s="36" t="s">
        <v>620</v>
      </c>
      <c r="C218" s="37" t="s">
        <v>473</v>
      </c>
      <c r="D218" s="37" t="s">
        <v>15</v>
      </c>
      <c r="E218" s="37" t="s">
        <v>20</v>
      </c>
      <c r="F218" s="38">
        <v>46182</v>
      </c>
      <c r="G218" s="39">
        <v>46096</v>
      </c>
      <c r="H218" s="41">
        <v>90.83</v>
      </c>
      <c r="I218" s="41">
        <v>27.88</v>
      </c>
      <c r="J218" s="39">
        <v>46188</v>
      </c>
      <c r="K218" s="36" t="s">
        <v>621</v>
      </c>
      <c r="L218" s="37" t="s">
        <v>17</v>
      </c>
    </row>
    <row r="219" spans="1:12">
      <c r="A219" s="36" t="s">
        <v>622</v>
      </c>
      <c r="B219" s="36" t="s">
        <v>623</v>
      </c>
      <c r="C219" s="37" t="s">
        <v>473</v>
      </c>
      <c r="D219" s="37" t="s">
        <v>15</v>
      </c>
      <c r="E219" s="37" t="s">
        <v>20</v>
      </c>
      <c r="F219" s="38">
        <v>46182</v>
      </c>
      <c r="G219" s="39">
        <v>46096</v>
      </c>
      <c r="H219" s="41">
        <v>90.83</v>
      </c>
      <c r="I219" s="41">
        <v>13.63</v>
      </c>
      <c r="J219" s="39">
        <v>46188</v>
      </c>
      <c r="K219" s="36" t="s">
        <v>624</v>
      </c>
      <c r="L219" s="37" t="s">
        <v>17</v>
      </c>
    </row>
    <row r="220" spans="1:12">
      <c r="A220" s="36" t="s">
        <v>625</v>
      </c>
      <c r="B220" s="36" t="s">
        <v>626</v>
      </c>
      <c r="C220" s="37" t="s">
        <v>473</v>
      </c>
      <c r="D220" s="37" t="s">
        <v>15</v>
      </c>
      <c r="E220" s="37" t="s">
        <v>20</v>
      </c>
      <c r="F220" s="38">
        <v>46182</v>
      </c>
      <c r="G220" s="39">
        <v>46096</v>
      </c>
      <c r="H220" s="41">
        <v>89.99</v>
      </c>
      <c r="I220" s="41">
        <v>13.65</v>
      </c>
      <c r="J220" s="39">
        <v>46188</v>
      </c>
      <c r="K220" s="36" t="s">
        <v>627</v>
      </c>
      <c r="L220" s="37" t="s">
        <v>17</v>
      </c>
    </row>
    <row r="221" spans="1:12">
      <c r="A221" s="36" t="s">
        <v>628</v>
      </c>
      <c r="B221" s="36" t="s">
        <v>629</v>
      </c>
      <c r="C221" s="37" t="s">
        <v>473</v>
      </c>
      <c r="D221" s="37" t="s">
        <v>15</v>
      </c>
      <c r="E221" s="37" t="s">
        <v>20</v>
      </c>
      <c r="F221" s="38">
        <v>46182</v>
      </c>
      <c r="G221" s="39">
        <v>46096</v>
      </c>
      <c r="H221" s="41">
        <v>87.23</v>
      </c>
      <c r="I221" s="41">
        <v>28.22</v>
      </c>
      <c r="J221" s="39">
        <v>46188</v>
      </c>
      <c r="K221" s="36" t="s">
        <v>630</v>
      </c>
      <c r="L221" s="37" t="s">
        <v>17</v>
      </c>
    </row>
    <row r="222" spans="1:12">
      <c r="A222" s="36" t="s">
        <v>631</v>
      </c>
      <c r="B222" s="36" t="s">
        <v>632</v>
      </c>
      <c r="C222" s="37" t="s">
        <v>473</v>
      </c>
      <c r="D222" s="37" t="s">
        <v>15</v>
      </c>
      <c r="E222" s="37" t="s">
        <v>20</v>
      </c>
      <c r="F222" s="38">
        <v>46182</v>
      </c>
      <c r="G222" s="39">
        <v>46096</v>
      </c>
      <c r="H222" s="41">
        <v>85.99</v>
      </c>
      <c r="I222" s="41">
        <v>28.12</v>
      </c>
      <c r="J222" s="39">
        <v>46188</v>
      </c>
      <c r="K222" s="36" t="s">
        <v>633</v>
      </c>
      <c r="L222" s="37" t="s">
        <v>17</v>
      </c>
    </row>
    <row r="223" spans="1:12">
      <c r="A223" s="36" t="s">
        <v>634</v>
      </c>
      <c r="B223" s="36" t="s">
        <v>635</v>
      </c>
      <c r="C223" s="37" t="s">
        <v>473</v>
      </c>
      <c r="D223" s="37" t="s">
        <v>15</v>
      </c>
      <c r="E223" s="37" t="s">
        <v>20</v>
      </c>
      <c r="F223" s="38">
        <v>46182</v>
      </c>
      <c r="G223" s="39">
        <v>46096</v>
      </c>
      <c r="H223" s="41">
        <v>99.99</v>
      </c>
      <c r="I223" s="41">
        <v>15.27</v>
      </c>
      <c r="J223" s="39">
        <v>46188</v>
      </c>
      <c r="K223" s="36" t="s">
        <v>636</v>
      </c>
      <c r="L223" s="37" t="s">
        <v>17</v>
      </c>
    </row>
    <row r="224" spans="1:12">
      <c r="A224" s="36" t="s">
        <v>637</v>
      </c>
      <c r="B224" s="36" t="s">
        <v>638</v>
      </c>
      <c r="C224" s="37" t="s">
        <v>473</v>
      </c>
      <c r="D224" s="37" t="s">
        <v>15</v>
      </c>
      <c r="E224" s="37" t="s">
        <v>20</v>
      </c>
      <c r="F224" s="38">
        <v>46182</v>
      </c>
      <c r="G224" s="39">
        <v>46096</v>
      </c>
      <c r="H224" s="41">
        <v>169.98</v>
      </c>
      <c r="I224" s="41">
        <v>56.48</v>
      </c>
      <c r="J224" s="39">
        <v>46188</v>
      </c>
      <c r="K224" s="36" t="s">
        <v>639</v>
      </c>
      <c r="L224" s="37" t="s">
        <v>17</v>
      </c>
    </row>
    <row r="225" spans="1:12">
      <c r="A225" s="36" t="s">
        <v>640</v>
      </c>
      <c r="B225" s="36" t="s">
        <v>641</v>
      </c>
      <c r="C225" s="37" t="s">
        <v>473</v>
      </c>
      <c r="D225" s="37" t="s">
        <v>15</v>
      </c>
      <c r="E225" s="37" t="s">
        <v>20</v>
      </c>
      <c r="F225" s="38">
        <v>46183</v>
      </c>
      <c r="G225" s="39">
        <v>46096</v>
      </c>
      <c r="H225" s="44">
        <v>67.709999999999994</v>
      </c>
      <c r="I225" s="41">
        <v>20.12</v>
      </c>
      <c r="J225" s="39">
        <v>46188</v>
      </c>
      <c r="K225" s="36" t="s">
        <v>642</v>
      </c>
      <c r="L225" s="37" t="s">
        <v>17</v>
      </c>
    </row>
    <row r="226" spans="1:12">
      <c r="A226" s="36" t="s">
        <v>643</v>
      </c>
      <c r="B226" s="36" t="s">
        <v>644</v>
      </c>
      <c r="C226" s="37" t="s">
        <v>473</v>
      </c>
      <c r="D226" s="37" t="s">
        <v>15</v>
      </c>
      <c r="E226" s="37" t="s">
        <v>20</v>
      </c>
      <c r="F226" s="38">
        <v>46183</v>
      </c>
      <c r="G226" s="39">
        <v>46096</v>
      </c>
      <c r="H226" s="44">
        <v>79.95</v>
      </c>
      <c r="I226" s="41">
        <v>12.13</v>
      </c>
      <c r="J226" s="39">
        <v>46188</v>
      </c>
      <c r="K226" s="36" t="s">
        <v>645</v>
      </c>
      <c r="L226" s="37" t="s">
        <v>17</v>
      </c>
    </row>
    <row r="227" spans="1:12">
      <c r="A227" s="36" t="s">
        <v>646</v>
      </c>
      <c r="B227" s="36" t="s">
        <v>647</v>
      </c>
      <c r="C227" s="37" t="s">
        <v>473</v>
      </c>
      <c r="D227" s="37" t="s">
        <v>15</v>
      </c>
      <c r="E227" s="37" t="s">
        <v>20</v>
      </c>
      <c r="F227" s="38">
        <v>46183</v>
      </c>
      <c r="G227" s="39">
        <v>46096</v>
      </c>
      <c r="H227" s="41">
        <v>85</v>
      </c>
      <c r="I227" s="41">
        <v>28.03</v>
      </c>
      <c r="J227" s="39">
        <v>46188</v>
      </c>
      <c r="K227" s="36" t="s">
        <v>648</v>
      </c>
      <c r="L227" s="37" t="s">
        <v>17</v>
      </c>
    </row>
    <row r="228" spans="1:12">
      <c r="A228" s="36" t="s">
        <v>649</v>
      </c>
      <c r="B228" s="36" t="s">
        <v>650</v>
      </c>
      <c r="C228" s="37" t="s">
        <v>473</v>
      </c>
      <c r="D228" s="37" t="s">
        <v>15</v>
      </c>
      <c r="E228" s="37" t="s">
        <v>20</v>
      </c>
      <c r="F228" s="38">
        <v>46183</v>
      </c>
      <c r="G228" s="39">
        <v>46096</v>
      </c>
      <c r="H228" s="44">
        <v>80.13</v>
      </c>
      <c r="I228" s="41">
        <v>12.16</v>
      </c>
      <c r="J228" s="39">
        <v>46188</v>
      </c>
      <c r="K228" s="36" t="s">
        <v>651</v>
      </c>
      <c r="L228" s="37" t="s">
        <v>17</v>
      </c>
    </row>
    <row r="229" spans="1:12">
      <c r="A229" s="36" t="s">
        <v>652</v>
      </c>
      <c r="B229" s="36" t="s">
        <v>653</v>
      </c>
      <c r="C229" s="37" t="s">
        <v>473</v>
      </c>
      <c r="D229" s="37" t="s">
        <v>15</v>
      </c>
      <c r="E229" s="37" t="s">
        <v>20</v>
      </c>
      <c r="F229" s="38">
        <v>46183</v>
      </c>
      <c r="G229" s="39">
        <v>46096</v>
      </c>
      <c r="H229" s="44">
        <v>79.989999999999995</v>
      </c>
      <c r="I229" s="41">
        <v>23.43</v>
      </c>
      <c r="J229" s="39">
        <v>46188</v>
      </c>
      <c r="K229" s="36" t="s">
        <v>654</v>
      </c>
      <c r="L229" s="37" t="s">
        <v>17</v>
      </c>
    </row>
    <row r="230" spans="1:12">
      <c r="A230" s="36" t="s">
        <v>655</v>
      </c>
      <c r="B230" s="36" t="s">
        <v>656</v>
      </c>
      <c r="C230" s="37" t="s">
        <v>473</v>
      </c>
      <c r="D230" s="37" t="s">
        <v>15</v>
      </c>
      <c r="E230" s="37" t="s">
        <v>20</v>
      </c>
      <c r="F230" s="38">
        <v>46183</v>
      </c>
      <c r="G230" s="39">
        <v>46096</v>
      </c>
      <c r="H230" s="44">
        <v>84.76</v>
      </c>
      <c r="I230" s="41">
        <v>24.08</v>
      </c>
      <c r="J230" s="39">
        <v>46188</v>
      </c>
      <c r="K230" s="36" t="s">
        <v>657</v>
      </c>
      <c r="L230" s="37" t="s">
        <v>17</v>
      </c>
    </row>
    <row r="231" spans="1:12">
      <c r="A231" s="36" t="s">
        <v>658</v>
      </c>
      <c r="B231" s="36" t="s">
        <v>659</v>
      </c>
      <c r="C231" s="37" t="s">
        <v>473</v>
      </c>
      <c r="D231" s="37" t="s">
        <v>15</v>
      </c>
      <c r="E231" s="37" t="s">
        <v>20</v>
      </c>
      <c r="F231" s="38">
        <v>46183</v>
      </c>
      <c r="G231" s="39">
        <v>46096</v>
      </c>
      <c r="H231" s="44">
        <v>67</v>
      </c>
      <c r="I231" s="41">
        <v>289.08999999999997</v>
      </c>
      <c r="J231" s="39">
        <v>46188</v>
      </c>
      <c r="K231" s="36" t="s">
        <v>660</v>
      </c>
      <c r="L231" s="37" t="s">
        <v>17</v>
      </c>
    </row>
    <row r="232" spans="1:12">
      <c r="A232" s="36" t="s">
        <v>661</v>
      </c>
      <c r="B232" s="36" t="s">
        <v>662</v>
      </c>
      <c r="C232" s="37" t="s">
        <v>473</v>
      </c>
      <c r="D232" s="37" t="s">
        <v>15</v>
      </c>
      <c r="E232" s="37" t="s">
        <v>16</v>
      </c>
      <c r="F232" s="38">
        <v>46191</v>
      </c>
      <c r="G232" s="39">
        <v>46096</v>
      </c>
      <c r="H232" s="44">
        <v>79.989999999999995</v>
      </c>
      <c r="I232" s="41"/>
      <c r="L232" s="37" t="s">
        <v>17</v>
      </c>
    </row>
    <row r="233" spans="1:12">
      <c r="A233" s="36" t="s">
        <v>663</v>
      </c>
      <c r="B233" s="36" t="s">
        <v>664</v>
      </c>
      <c r="C233" s="37" t="s">
        <v>473</v>
      </c>
      <c r="D233" s="37" t="s">
        <v>15</v>
      </c>
      <c r="E233" s="37" t="s">
        <v>20</v>
      </c>
      <c r="F233" s="38">
        <v>46183</v>
      </c>
      <c r="G233" s="39">
        <v>46096</v>
      </c>
      <c r="H233" s="44">
        <v>79.98</v>
      </c>
      <c r="I233" s="41">
        <v>23.37</v>
      </c>
      <c r="J233" s="39">
        <v>46188</v>
      </c>
      <c r="K233" s="36" t="s">
        <v>665</v>
      </c>
      <c r="L233" s="37" t="s">
        <v>17</v>
      </c>
    </row>
    <row r="234" spans="1:12">
      <c r="A234" s="36" t="s">
        <v>666</v>
      </c>
      <c r="B234" s="36" t="s">
        <v>667</v>
      </c>
      <c r="C234" s="37" t="s">
        <v>473</v>
      </c>
      <c r="D234" s="37" t="s">
        <v>15</v>
      </c>
      <c r="E234" s="37" t="s">
        <v>20</v>
      </c>
      <c r="F234" s="38">
        <v>46183</v>
      </c>
      <c r="G234" s="39">
        <v>46096</v>
      </c>
      <c r="H234" s="44">
        <v>62.03</v>
      </c>
      <c r="I234" s="41">
        <v>17.829999999999998</v>
      </c>
      <c r="J234" s="39">
        <v>46188</v>
      </c>
      <c r="K234" s="36" t="s">
        <v>668</v>
      </c>
      <c r="L234" s="37" t="s">
        <v>17</v>
      </c>
    </row>
    <row r="235" spans="1:12">
      <c r="A235" s="43" t="s">
        <v>669</v>
      </c>
      <c r="B235" s="36" t="s">
        <v>670</v>
      </c>
      <c r="C235" s="37" t="s">
        <v>14</v>
      </c>
      <c r="D235" s="37" t="s">
        <v>15</v>
      </c>
      <c r="E235" s="37" t="s">
        <v>187</v>
      </c>
      <c r="F235" s="38">
        <v>46185</v>
      </c>
      <c r="G235" s="39">
        <v>46157</v>
      </c>
      <c r="H235" s="44">
        <v>65.55</v>
      </c>
      <c r="I235" s="44">
        <v>20</v>
      </c>
      <c r="J235" s="39">
        <v>46188</v>
      </c>
      <c r="K235" s="36" t="s">
        <v>671</v>
      </c>
      <c r="L235" s="37" t="s">
        <v>17</v>
      </c>
    </row>
    <row r="236" spans="1:12">
      <c r="A236" s="43" t="s">
        <v>672</v>
      </c>
      <c r="B236" s="36" t="s">
        <v>673</v>
      </c>
      <c r="C236" s="37" t="s">
        <v>14</v>
      </c>
      <c r="D236" s="37" t="s">
        <v>15</v>
      </c>
      <c r="E236" s="37" t="s">
        <v>16</v>
      </c>
      <c r="F236" s="38">
        <v>46183</v>
      </c>
      <c r="G236" s="39">
        <v>46157</v>
      </c>
      <c r="H236" s="44">
        <v>37.78</v>
      </c>
      <c r="I236" s="41">
        <f>H236</f>
        <v>37.78</v>
      </c>
      <c r="J236" s="39">
        <v>46188</v>
      </c>
      <c r="L236" s="37" t="s">
        <v>17</v>
      </c>
    </row>
    <row r="237" spans="1:12">
      <c r="A237" s="43" t="s">
        <v>674</v>
      </c>
      <c r="B237" s="36" t="s">
        <v>675</v>
      </c>
      <c r="C237" s="37" t="s">
        <v>14</v>
      </c>
      <c r="D237" s="37" t="s">
        <v>15</v>
      </c>
      <c r="E237" s="37" t="s">
        <v>23</v>
      </c>
      <c r="F237" s="38">
        <v>46184</v>
      </c>
      <c r="G237" s="39">
        <v>46157</v>
      </c>
      <c r="H237" s="44">
        <v>109.99</v>
      </c>
      <c r="I237" s="44">
        <v>27.66</v>
      </c>
      <c r="J237" s="39">
        <v>46189</v>
      </c>
      <c r="K237" s="36" t="s">
        <v>676</v>
      </c>
      <c r="L237" s="37" t="s">
        <v>17</v>
      </c>
    </row>
    <row r="238" spans="1:12">
      <c r="A238" s="43" t="s">
        <v>677</v>
      </c>
      <c r="B238" s="40" t="str">
        <f>"1.353825402"</f>
        <v>1.353825402</v>
      </c>
      <c r="C238" s="37" t="s">
        <v>14</v>
      </c>
      <c r="D238" s="37" t="s">
        <v>15</v>
      </c>
      <c r="E238" s="37" t="s">
        <v>55</v>
      </c>
      <c r="F238" s="38">
        <v>46184</v>
      </c>
      <c r="G238" s="39">
        <v>46157</v>
      </c>
      <c r="H238" s="44">
        <v>106.48</v>
      </c>
      <c r="I238" s="44">
        <v>43.91</v>
      </c>
      <c r="J238" s="39">
        <v>46189</v>
      </c>
      <c r="K238" s="36" t="s">
        <v>678</v>
      </c>
      <c r="L238" s="37" t="s">
        <v>17</v>
      </c>
    </row>
    <row r="239" spans="1:12">
      <c r="A239" s="43" t="s">
        <v>679</v>
      </c>
      <c r="B239" s="36" t="s">
        <v>680</v>
      </c>
      <c r="C239" s="37" t="s">
        <v>14</v>
      </c>
      <c r="D239" s="37" t="s">
        <v>15</v>
      </c>
      <c r="E239" s="37" t="s">
        <v>23</v>
      </c>
      <c r="F239" s="38">
        <v>46184</v>
      </c>
      <c r="G239" s="39">
        <v>46157</v>
      </c>
      <c r="H239" s="44">
        <v>113.18</v>
      </c>
      <c r="I239" s="44">
        <v>31.8</v>
      </c>
      <c r="J239" s="39">
        <v>46189</v>
      </c>
      <c r="K239" s="36" t="s">
        <v>681</v>
      </c>
      <c r="L239" s="37" t="s">
        <v>17</v>
      </c>
    </row>
    <row r="240" spans="1:12">
      <c r="A240" s="43" t="s">
        <v>682</v>
      </c>
      <c r="B240" s="36" t="s">
        <v>683</v>
      </c>
      <c r="C240" s="37" t="s">
        <v>14</v>
      </c>
      <c r="D240" s="37" t="s">
        <v>15</v>
      </c>
      <c r="E240" s="37" t="s">
        <v>16</v>
      </c>
      <c r="F240" s="38">
        <v>46183</v>
      </c>
      <c r="G240" s="39">
        <v>46157</v>
      </c>
      <c r="H240" s="44">
        <v>3.58</v>
      </c>
      <c r="I240" s="41">
        <f>H240</f>
        <v>3.58</v>
      </c>
      <c r="J240" s="39">
        <v>46188</v>
      </c>
      <c r="L240" s="37" t="s">
        <v>17</v>
      </c>
    </row>
    <row r="241" spans="1:12">
      <c r="A241" s="43" t="s">
        <v>684</v>
      </c>
      <c r="B241" s="36" t="s">
        <v>685</v>
      </c>
      <c r="C241" s="37" t="s">
        <v>14</v>
      </c>
      <c r="D241" s="37" t="s">
        <v>15</v>
      </c>
      <c r="E241" s="37" t="s">
        <v>55</v>
      </c>
      <c r="F241" s="38">
        <v>46184</v>
      </c>
      <c r="G241" s="39">
        <v>46157</v>
      </c>
      <c r="H241" s="44">
        <v>62.79</v>
      </c>
      <c r="I241" s="44">
        <v>38.799999999999997</v>
      </c>
      <c r="J241" s="39">
        <v>46189</v>
      </c>
      <c r="K241" s="36" t="s">
        <v>686</v>
      </c>
      <c r="L241" s="37" t="s">
        <v>17</v>
      </c>
    </row>
    <row r="242" spans="1:12">
      <c r="A242" s="43" t="s">
        <v>687</v>
      </c>
      <c r="B242" s="36" t="s">
        <v>688</v>
      </c>
      <c r="C242" s="37" t="s">
        <v>14</v>
      </c>
      <c r="D242" s="37" t="s">
        <v>15</v>
      </c>
      <c r="E242" s="37" t="s">
        <v>58</v>
      </c>
      <c r="F242" s="38">
        <v>46195</v>
      </c>
      <c r="G242" s="39">
        <v>46157</v>
      </c>
      <c r="H242" s="44">
        <v>109.99</v>
      </c>
      <c r="I242" s="44">
        <v>50</v>
      </c>
      <c r="J242" s="39">
        <v>46188</v>
      </c>
      <c r="K242" s="36" t="s">
        <v>689</v>
      </c>
      <c r="L242" s="37" t="s">
        <v>17</v>
      </c>
    </row>
    <row r="243" spans="1:12">
      <c r="A243" s="43" t="s">
        <v>690</v>
      </c>
      <c r="B243" s="36" t="s">
        <v>691</v>
      </c>
      <c r="C243" s="37" t="s">
        <v>14</v>
      </c>
      <c r="D243" s="37" t="s">
        <v>15</v>
      </c>
      <c r="E243" s="37" t="s">
        <v>55</v>
      </c>
      <c r="F243" s="38">
        <v>46185</v>
      </c>
      <c r="G243" s="39">
        <v>46157</v>
      </c>
      <c r="H243" s="44">
        <v>85.2</v>
      </c>
      <c r="I243" s="44">
        <v>39.53</v>
      </c>
      <c r="J243" s="39">
        <v>46189</v>
      </c>
      <c r="K243" s="36" t="s">
        <v>692</v>
      </c>
      <c r="L243" s="37" t="s">
        <v>17</v>
      </c>
    </row>
    <row r="244" spans="1:12">
      <c r="A244" s="43" t="s">
        <v>693</v>
      </c>
      <c r="B244" s="36" t="s">
        <v>694</v>
      </c>
      <c r="C244" s="37" t="s">
        <v>14</v>
      </c>
      <c r="D244" s="37" t="s">
        <v>15</v>
      </c>
      <c r="E244" s="37" t="s">
        <v>20</v>
      </c>
      <c r="F244" s="38">
        <v>46205</v>
      </c>
      <c r="G244" s="39">
        <v>46157</v>
      </c>
      <c r="H244" s="44">
        <v>108.66</v>
      </c>
      <c r="I244" s="44">
        <v>22.4</v>
      </c>
      <c r="J244" s="39">
        <v>46210</v>
      </c>
      <c r="K244" s="36" t="s">
        <v>695</v>
      </c>
      <c r="L244" s="37" t="s">
        <v>17</v>
      </c>
    </row>
    <row r="245" spans="1:12">
      <c r="A245" s="43" t="s">
        <v>696</v>
      </c>
      <c r="B245" s="36" t="s">
        <v>697</v>
      </c>
      <c r="C245" s="37" t="s">
        <v>14</v>
      </c>
      <c r="D245" s="37" t="s">
        <v>15</v>
      </c>
      <c r="E245" s="37" t="s">
        <v>698</v>
      </c>
      <c r="F245" s="38">
        <v>46184</v>
      </c>
      <c r="G245" s="39">
        <v>46157</v>
      </c>
      <c r="H245" s="44">
        <v>112.73</v>
      </c>
      <c r="I245" s="44">
        <v>44.57</v>
      </c>
      <c r="J245" s="39">
        <v>46188</v>
      </c>
      <c r="K245" s="36" t="s">
        <v>699</v>
      </c>
      <c r="L245" s="37" t="s">
        <v>17</v>
      </c>
    </row>
    <row r="246" spans="1:12">
      <c r="A246" s="43" t="s">
        <v>700</v>
      </c>
      <c r="B246" s="36" t="s">
        <v>701</v>
      </c>
      <c r="C246" s="37" t="s">
        <v>14</v>
      </c>
      <c r="D246" s="37" t="s">
        <v>15</v>
      </c>
      <c r="E246" s="37" t="s">
        <v>62</v>
      </c>
      <c r="F246" s="38">
        <v>46184</v>
      </c>
      <c r="G246" s="39">
        <v>46157</v>
      </c>
      <c r="H246" s="44">
        <v>111.61</v>
      </c>
      <c r="I246" s="44">
        <v>30</v>
      </c>
      <c r="J246" s="39">
        <v>46189</v>
      </c>
      <c r="K246" s="36" t="s">
        <v>702</v>
      </c>
      <c r="L246" s="37" t="s">
        <v>17</v>
      </c>
    </row>
    <row r="247" spans="1:12">
      <c r="A247" s="43" t="s">
        <v>703</v>
      </c>
      <c r="B247" s="36" t="s">
        <v>704</v>
      </c>
      <c r="C247" s="37" t="s">
        <v>14</v>
      </c>
      <c r="D247" s="37" t="s">
        <v>15</v>
      </c>
      <c r="E247" s="37" t="s">
        <v>16</v>
      </c>
      <c r="F247" s="38">
        <v>46183</v>
      </c>
      <c r="G247" s="39">
        <v>46154</v>
      </c>
      <c r="H247" s="44">
        <v>14.22</v>
      </c>
      <c r="I247" s="41">
        <f>H247</f>
        <v>14.22</v>
      </c>
      <c r="J247" s="39">
        <v>46188</v>
      </c>
      <c r="L247" s="37" t="s">
        <v>17</v>
      </c>
    </row>
    <row r="248" spans="1:12">
      <c r="A248" s="43" t="s">
        <v>705</v>
      </c>
      <c r="B248" s="36" t="s">
        <v>706</v>
      </c>
      <c r="C248" s="37" t="s">
        <v>14</v>
      </c>
      <c r="D248" s="37" t="s">
        <v>15</v>
      </c>
      <c r="E248" s="37" t="s">
        <v>58</v>
      </c>
      <c r="F248" s="38">
        <v>46185</v>
      </c>
      <c r="G248" s="39">
        <v>46157</v>
      </c>
      <c r="H248" s="44">
        <v>109.99</v>
      </c>
      <c r="I248" s="44">
        <v>37.479999999999997</v>
      </c>
      <c r="J248" s="39">
        <v>46189</v>
      </c>
      <c r="K248" s="36" t="s">
        <v>707</v>
      </c>
      <c r="L248" s="37" t="s">
        <v>17</v>
      </c>
    </row>
    <row r="249" spans="1:12">
      <c r="A249" s="43" t="s">
        <v>708</v>
      </c>
      <c r="B249" s="36" t="s">
        <v>709</v>
      </c>
      <c r="C249" s="37" t="s">
        <v>14</v>
      </c>
      <c r="D249" s="37" t="s">
        <v>15</v>
      </c>
      <c r="E249" s="37" t="s">
        <v>58</v>
      </c>
      <c r="F249" s="38">
        <v>46185</v>
      </c>
      <c r="G249" s="39">
        <v>46157</v>
      </c>
      <c r="H249" s="44">
        <v>128.82</v>
      </c>
      <c r="I249" s="44">
        <v>35</v>
      </c>
      <c r="J249" s="39">
        <v>46188</v>
      </c>
      <c r="K249" s="36" t="s">
        <v>710</v>
      </c>
      <c r="L249" s="37" t="s">
        <v>17</v>
      </c>
    </row>
    <row r="250" spans="1:12">
      <c r="A250" s="43" t="s">
        <v>711</v>
      </c>
      <c r="B250" s="36" t="s">
        <v>712</v>
      </c>
      <c r="C250" s="37" t="s">
        <v>14</v>
      </c>
      <c r="D250" s="37" t="s">
        <v>15</v>
      </c>
      <c r="E250" s="37" t="s">
        <v>58</v>
      </c>
      <c r="F250" s="38">
        <v>46185</v>
      </c>
      <c r="G250" s="39">
        <v>46157</v>
      </c>
      <c r="H250" s="44">
        <v>103.19</v>
      </c>
      <c r="I250" s="44">
        <v>44.31</v>
      </c>
      <c r="J250" s="39">
        <v>46190</v>
      </c>
      <c r="K250" s="36" t="s">
        <v>713</v>
      </c>
      <c r="L250" s="37" t="s">
        <v>17</v>
      </c>
    </row>
    <row r="251" spans="1:12">
      <c r="A251" s="43" t="s">
        <v>714</v>
      </c>
      <c r="B251" s="36" t="s">
        <v>715</v>
      </c>
      <c r="C251" s="37" t="s">
        <v>14</v>
      </c>
      <c r="D251" s="37" t="s">
        <v>15</v>
      </c>
      <c r="E251" s="37" t="s">
        <v>169</v>
      </c>
      <c r="F251" s="38">
        <v>46184</v>
      </c>
      <c r="G251" s="39">
        <v>46157</v>
      </c>
      <c r="H251" s="44">
        <v>111.1</v>
      </c>
      <c r="I251" s="44">
        <v>50</v>
      </c>
      <c r="J251" s="39">
        <v>46186</v>
      </c>
      <c r="K251" s="36" t="s">
        <v>716</v>
      </c>
      <c r="L251" s="37" t="s">
        <v>17</v>
      </c>
    </row>
    <row r="252" spans="1:12">
      <c r="A252" s="43" t="s">
        <v>717</v>
      </c>
      <c r="B252" s="36" t="s">
        <v>718</v>
      </c>
      <c r="C252" s="37" t="s">
        <v>14</v>
      </c>
      <c r="D252" s="37" t="s">
        <v>15</v>
      </c>
      <c r="E252" s="37" t="s">
        <v>55</v>
      </c>
      <c r="F252" s="38">
        <v>46184</v>
      </c>
      <c r="G252" s="39">
        <v>46157</v>
      </c>
      <c r="H252" s="44">
        <v>109.99</v>
      </c>
      <c r="I252" s="44">
        <v>54.77</v>
      </c>
      <c r="J252" s="39">
        <v>46188</v>
      </c>
      <c r="K252" s="36" t="s">
        <v>719</v>
      </c>
      <c r="L252" s="37" t="s">
        <v>17</v>
      </c>
    </row>
    <row r="253" spans="1:12">
      <c r="A253" s="43" t="s">
        <v>720</v>
      </c>
      <c r="B253" s="36" t="s">
        <v>721</v>
      </c>
      <c r="C253" s="37" t="s">
        <v>14</v>
      </c>
      <c r="D253" s="37" t="s">
        <v>15</v>
      </c>
      <c r="E253" s="37" t="s">
        <v>23</v>
      </c>
      <c r="F253" s="38">
        <v>46185</v>
      </c>
      <c r="G253" s="39">
        <v>46157</v>
      </c>
      <c r="H253" s="44">
        <v>109.99</v>
      </c>
      <c r="I253" s="44">
        <v>33.479999999999997</v>
      </c>
      <c r="J253" s="39">
        <v>46188</v>
      </c>
      <c r="K253" s="36" t="s">
        <v>722</v>
      </c>
      <c r="L253" s="37" t="s">
        <v>17</v>
      </c>
    </row>
    <row r="254" spans="1:12">
      <c r="A254" s="43" t="s">
        <v>723</v>
      </c>
      <c r="B254" s="36" t="s">
        <v>724</v>
      </c>
      <c r="C254" s="37" t="s">
        <v>14</v>
      </c>
      <c r="D254" s="37" t="s">
        <v>15</v>
      </c>
      <c r="E254" s="37" t="s">
        <v>187</v>
      </c>
      <c r="F254" s="38">
        <v>46184</v>
      </c>
      <c r="G254" s="39">
        <v>46154</v>
      </c>
      <c r="H254" s="44">
        <v>67.44</v>
      </c>
      <c r="I254" s="44">
        <v>25</v>
      </c>
      <c r="J254" s="39">
        <v>46188</v>
      </c>
      <c r="K254" s="36" t="s">
        <v>725</v>
      </c>
      <c r="L254" s="37" t="s">
        <v>17</v>
      </c>
    </row>
    <row r="255" spans="1:12">
      <c r="A255" s="43" t="s">
        <v>726</v>
      </c>
      <c r="B255" s="36" t="s">
        <v>727</v>
      </c>
      <c r="C255" s="37" t="s">
        <v>14</v>
      </c>
      <c r="D255" s="37" t="s">
        <v>15</v>
      </c>
      <c r="E255" s="37" t="s">
        <v>20</v>
      </c>
      <c r="F255" s="38">
        <v>46205</v>
      </c>
      <c r="G255" s="39">
        <v>46157</v>
      </c>
      <c r="H255" s="44">
        <v>99.99</v>
      </c>
      <c r="I255" s="44">
        <v>29.81</v>
      </c>
      <c r="J255" s="39">
        <v>46210</v>
      </c>
      <c r="K255" s="36" t="s">
        <v>728</v>
      </c>
      <c r="L255" s="37" t="s">
        <v>17</v>
      </c>
    </row>
    <row r="256" spans="1:12">
      <c r="A256" s="43" t="s">
        <v>729</v>
      </c>
      <c r="B256" s="36" t="s">
        <v>730</v>
      </c>
      <c r="C256" s="37" t="s">
        <v>14</v>
      </c>
      <c r="D256" s="37" t="s">
        <v>15</v>
      </c>
      <c r="E256" s="37" t="s">
        <v>58</v>
      </c>
      <c r="F256" s="38">
        <v>46184</v>
      </c>
      <c r="G256" s="39">
        <v>46157</v>
      </c>
      <c r="H256" s="44">
        <v>63.88</v>
      </c>
      <c r="I256" s="44">
        <v>37.1</v>
      </c>
      <c r="J256" s="39">
        <v>46188</v>
      </c>
      <c r="K256" s="36" t="s">
        <v>731</v>
      </c>
      <c r="L256" s="37" t="s">
        <v>17</v>
      </c>
    </row>
    <row r="257" spans="1:12">
      <c r="A257" s="43" t="s">
        <v>732</v>
      </c>
      <c r="B257" s="36" t="s">
        <v>733</v>
      </c>
      <c r="C257" s="37" t="s">
        <v>14</v>
      </c>
      <c r="D257" s="37" t="s">
        <v>15</v>
      </c>
      <c r="E257" s="37" t="s">
        <v>58</v>
      </c>
      <c r="F257" s="38">
        <v>46189</v>
      </c>
      <c r="G257" s="39">
        <v>46157</v>
      </c>
      <c r="H257" s="44">
        <v>129.99</v>
      </c>
      <c r="I257" s="44">
        <v>52.79</v>
      </c>
      <c r="J257" s="39">
        <v>46192</v>
      </c>
      <c r="K257" s="36" t="s">
        <v>734</v>
      </c>
      <c r="L257" s="37" t="s">
        <v>17</v>
      </c>
    </row>
    <row r="258" spans="1:12">
      <c r="A258" s="43" t="s">
        <v>735</v>
      </c>
      <c r="B258" s="36" t="s">
        <v>736</v>
      </c>
      <c r="C258" s="37" t="s">
        <v>14</v>
      </c>
      <c r="D258" s="37" t="s">
        <v>15</v>
      </c>
      <c r="E258" s="37" t="s">
        <v>169</v>
      </c>
      <c r="F258" s="38">
        <v>46189</v>
      </c>
      <c r="G258" s="39">
        <v>46157</v>
      </c>
      <c r="H258" s="44">
        <v>143.12</v>
      </c>
      <c r="I258" s="44">
        <v>58.14</v>
      </c>
      <c r="J258" s="39">
        <v>46191</v>
      </c>
      <c r="K258" s="36" t="s">
        <v>737</v>
      </c>
      <c r="L258" s="37" t="s">
        <v>17</v>
      </c>
    </row>
    <row r="259" spans="1:12">
      <c r="A259" s="43" t="s">
        <v>738</v>
      </c>
      <c r="B259" s="36" t="s">
        <v>739</v>
      </c>
      <c r="C259" s="37" t="s">
        <v>14</v>
      </c>
      <c r="D259" s="37" t="s">
        <v>15</v>
      </c>
      <c r="E259" s="37" t="s">
        <v>20</v>
      </c>
      <c r="F259" s="38">
        <v>46205</v>
      </c>
      <c r="G259" s="39">
        <v>46157</v>
      </c>
      <c r="H259" s="44">
        <v>109.99</v>
      </c>
      <c r="I259" s="44">
        <v>22.95</v>
      </c>
      <c r="J259" s="39">
        <v>46210</v>
      </c>
      <c r="K259" s="36" t="s">
        <v>740</v>
      </c>
      <c r="L259" s="37" t="s">
        <v>17</v>
      </c>
    </row>
    <row r="260" spans="1:12">
      <c r="A260" s="43" t="s">
        <v>741</v>
      </c>
      <c r="B260" s="36" t="s">
        <v>742</v>
      </c>
      <c r="C260" s="37" t="s">
        <v>14</v>
      </c>
      <c r="D260" s="37" t="s">
        <v>15</v>
      </c>
      <c r="E260" s="37" t="s">
        <v>23</v>
      </c>
      <c r="F260" s="38">
        <v>46185</v>
      </c>
      <c r="G260" s="39">
        <v>46157</v>
      </c>
      <c r="H260" s="44">
        <v>109.83</v>
      </c>
      <c r="I260" s="44">
        <v>44.71</v>
      </c>
      <c r="J260" s="39">
        <v>46190</v>
      </c>
      <c r="K260" s="36" t="s">
        <v>743</v>
      </c>
      <c r="L260" s="37" t="s">
        <v>17</v>
      </c>
    </row>
    <row r="261" spans="1:12">
      <c r="A261" s="43" t="s">
        <v>744</v>
      </c>
      <c r="B261" s="36" t="s">
        <v>745</v>
      </c>
      <c r="C261" s="37" t="s">
        <v>14</v>
      </c>
      <c r="D261" s="37" t="s">
        <v>15</v>
      </c>
      <c r="E261" s="37" t="s">
        <v>16</v>
      </c>
      <c r="F261" s="38">
        <v>46183</v>
      </c>
      <c r="G261" s="39">
        <v>46157</v>
      </c>
      <c r="H261" s="44">
        <v>8.44</v>
      </c>
      <c r="I261" s="41">
        <f>H261</f>
        <v>8.44</v>
      </c>
      <c r="J261" s="39">
        <v>46188</v>
      </c>
      <c r="L261" s="37" t="s">
        <v>17</v>
      </c>
    </row>
    <row r="262" spans="1:12">
      <c r="A262" s="43" t="s">
        <v>746</v>
      </c>
      <c r="B262" s="36" t="s">
        <v>747</v>
      </c>
      <c r="C262" s="37" t="s">
        <v>14</v>
      </c>
      <c r="D262" s="37" t="s">
        <v>15</v>
      </c>
      <c r="E262" s="37" t="s">
        <v>55</v>
      </c>
      <c r="F262" s="38">
        <v>46184</v>
      </c>
      <c r="G262" s="39">
        <v>46157</v>
      </c>
      <c r="H262" s="44">
        <v>109.99</v>
      </c>
      <c r="I262" s="44">
        <v>55.29</v>
      </c>
      <c r="J262" s="39">
        <v>46188</v>
      </c>
      <c r="K262" s="36" t="s">
        <v>748</v>
      </c>
      <c r="L262" s="37" t="s">
        <v>17</v>
      </c>
    </row>
    <row r="263" spans="1:12">
      <c r="A263" s="43" t="s">
        <v>749</v>
      </c>
      <c r="B263" s="36" t="s">
        <v>750</v>
      </c>
      <c r="C263" s="37" t="s">
        <v>14</v>
      </c>
      <c r="D263" s="37" t="s">
        <v>15</v>
      </c>
      <c r="E263" s="37" t="s">
        <v>169</v>
      </c>
      <c r="F263" s="38">
        <v>46185</v>
      </c>
      <c r="G263" s="39">
        <v>46154</v>
      </c>
      <c r="H263" s="44">
        <v>108.66</v>
      </c>
      <c r="I263" s="44">
        <v>44.91</v>
      </c>
      <c r="J263" s="39">
        <v>46189</v>
      </c>
      <c r="K263" s="36" t="s">
        <v>751</v>
      </c>
      <c r="L263" s="37" t="s">
        <v>17</v>
      </c>
    </row>
    <row r="264" spans="1:12">
      <c r="A264" s="43" t="s">
        <v>752</v>
      </c>
      <c r="B264" s="36" t="s">
        <v>753</v>
      </c>
      <c r="C264" s="37" t="s">
        <v>14</v>
      </c>
      <c r="D264" s="37" t="s">
        <v>15</v>
      </c>
      <c r="E264" s="37" t="s">
        <v>23</v>
      </c>
      <c r="F264" s="38">
        <v>46184</v>
      </c>
      <c r="G264" s="39">
        <v>46157</v>
      </c>
      <c r="H264" s="44">
        <v>139.81</v>
      </c>
      <c r="I264" s="44">
        <v>64.25</v>
      </c>
      <c r="J264" s="39">
        <v>46187</v>
      </c>
      <c r="K264" s="36" t="s">
        <v>754</v>
      </c>
      <c r="L264" s="37" t="s">
        <v>17</v>
      </c>
    </row>
    <row r="265" spans="1:12">
      <c r="A265" s="43" t="s">
        <v>755</v>
      </c>
      <c r="B265" s="36" t="s">
        <v>756</v>
      </c>
      <c r="C265" s="37" t="s">
        <v>14</v>
      </c>
      <c r="D265" s="37" t="s">
        <v>15</v>
      </c>
      <c r="E265" s="37" t="s">
        <v>23</v>
      </c>
      <c r="F265" s="38">
        <v>46184</v>
      </c>
      <c r="G265" s="39">
        <v>46154</v>
      </c>
      <c r="H265" s="44">
        <v>119.99</v>
      </c>
      <c r="I265" s="44">
        <v>20.29</v>
      </c>
      <c r="J265" s="39">
        <v>46189</v>
      </c>
      <c r="K265" s="36" t="s">
        <v>757</v>
      </c>
      <c r="L265" s="37" t="s">
        <v>17</v>
      </c>
    </row>
    <row r="266" spans="1:12">
      <c r="A266" s="43" t="s">
        <v>758</v>
      </c>
      <c r="B266" s="36" t="s">
        <v>759</v>
      </c>
      <c r="C266" s="37" t="s">
        <v>14</v>
      </c>
      <c r="D266" s="37" t="s">
        <v>15</v>
      </c>
      <c r="E266" s="37" t="s">
        <v>62</v>
      </c>
      <c r="F266" s="38">
        <v>46189</v>
      </c>
      <c r="G266" s="39">
        <v>46157</v>
      </c>
      <c r="H266" s="44">
        <v>101.48</v>
      </c>
      <c r="I266" s="44">
        <v>20.92</v>
      </c>
      <c r="J266" s="39">
        <v>46193</v>
      </c>
      <c r="K266" s="36" t="s">
        <v>760</v>
      </c>
      <c r="L266" s="37" t="s">
        <v>17</v>
      </c>
    </row>
    <row r="267" spans="1:12">
      <c r="A267" s="43" t="e">
        <v>#N/A</v>
      </c>
      <c r="B267" s="36" t="s">
        <v>761</v>
      </c>
      <c r="C267" s="37" t="s">
        <v>14</v>
      </c>
      <c r="D267" s="37" t="s">
        <v>15</v>
      </c>
      <c r="E267" s="37" t="s">
        <v>16</v>
      </c>
      <c r="F267" s="38">
        <v>46183</v>
      </c>
      <c r="G267" s="39">
        <v>46157</v>
      </c>
      <c r="H267" s="44">
        <v>3.58</v>
      </c>
      <c r="I267" s="41">
        <f>H267</f>
        <v>3.58</v>
      </c>
      <c r="J267" s="39">
        <v>46188</v>
      </c>
      <c r="L267" s="37" t="s">
        <v>17</v>
      </c>
    </row>
    <row r="268" spans="1:12">
      <c r="A268" s="43" t="s">
        <v>762</v>
      </c>
      <c r="B268" s="36" t="s">
        <v>763</v>
      </c>
      <c r="C268" s="37" t="s">
        <v>14</v>
      </c>
      <c r="D268" s="37" t="s">
        <v>15</v>
      </c>
      <c r="E268" s="37" t="s">
        <v>58</v>
      </c>
      <c r="F268" s="38">
        <v>46189</v>
      </c>
      <c r="G268" s="39">
        <v>46154</v>
      </c>
      <c r="H268" s="44">
        <v>110.07</v>
      </c>
      <c r="I268" s="44">
        <v>22.71</v>
      </c>
      <c r="J268" s="39">
        <v>46193</v>
      </c>
      <c r="K268" s="36" t="s">
        <v>764</v>
      </c>
      <c r="L268" s="37" t="s">
        <v>17</v>
      </c>
    </row>
    <row r="269" spans="1:12">
      <c r="A269" s="43" t="s">
        <v>765</v>
      </c>
      <c r="B269" s="36" t="s">
        <v>766</v>
      </c>
      <c r="C269" s="37" t="s">
        <v>14</v>
      </c>
      <c r="D269" s="37" t="s">
        <v>15</v>
      </c>
      <c r="E269" s="37" t="s">
        <v>767</v>
      </c>
      <c r="F269" s="38">
        <v>46184</v>
      </c>
      <c r="G269" s="39">
        <v>46157</v>
      </c>
      <c r="H269" s="44">
        <v>109.8</v>
      </c>
      <c r="I269" s="44">
        <v>25</v>
      </c>
      <c r="J269" s="39">
        <v>46189</v>
      </c>
      <c r="K269" s="36" t="s">
        <v>768</v>
      </c>
      <c r="L269" s="37" t="s">
        <v>17</v>
      </c>
    </row>
    <row r="270" spans="1:12">
      <c r="A270" s="43" t="s">
        <v>769</v>
      </c>
      <c r="B270" s="36" t="s">
        <v>770</v>
      </c>
      <c r="C270" s="37" t="s">
        <v>14</v>
      </c>
      <c r="D270" s="37" t="s">
        <v>15</v>
      </c>
      <c r="E270" s="37" t="s">
        <v>23</v>
      </c>
      <c r="F270" s="38">
        <v>46185</v>
      </c>
      <c r="G270" s="39">
        <v>46157</v>
      </c>
      <c r="H270" s="44">
        <v>94.8</v>
      </c>
      <c r="I270" s="44">
        <v>47.04</v>
      </c>
      <c r="J270" s="39">
        <v>46189</v>
      </c>
      <c r="K270" s="36" t="s">
        <v>771</v>
      </c>
      <c r="L270" s="37" t="s">
        <v>17</v>
      </c>
    </row>
    <row r="271" spans="1:12">
      <c r="A271" s="43" t="s">
        <v>772</v>
      </c>
      <c r="B271" s="36" t="s">
        <v>773</v>
      </c>
      <c r="C271" s="37" t="s">
        <v>14</v>
      </c>
      <c r="D271" s="37" t="s">
        <v>15</v>
      </c>
      <c r="E271" s="37" t="s">
        <v>169</v>
      </c>
      <c r="F271" s="38">
        <v>46185</v>
      </c>
      <c r="G271" s="39">
        <v>46157</v>
      </c>
      <c r="H271" s="44">
        <v>53.26</v>
      </c>
      <c r="I271" s="44">
        <v>32.96</v>
      </c>
      <c r="J271" s="39">
        <v>46189</v>
      </c>
      <c r="K271" s="36" t="s">
        <v>774</v>
      </c>
      <c r="L271" s="37" t="s">
        <v>17</v>
      </c>
    </row>
    <row r="272" spans="1:12">
      <c r="A272" s="43" t="s">
        <v>775</v>
      </c>
      <c r="B272" s="36" t="s">
        <v>776</v>
      </c>
      <c r="C272" s="37" t="s">
        <v>14</v>
      </c>
      <c r="D272" s="37" t="s">
        <v>15</v>
      </c>
      <c r="E272" s="37" t="s">
        <v>58</v>
      </c>
      <c r="F272" s="38">
        <v>46189</v>
      </c>
      <c r="G272" s="39">
        <v>46157</v>
      </c>
      <c r="H272" s="44">
        <v>129.84</v>
      </c>
      <c r="I272" s="44">
        <v>52.76</v>
      </c>
      <c r="J272" s="39">
        <v>46194</v>
      </c>
      <c r="K272" s="36" t="s">
        <v>777</v>
      </c>
      <c r="L272" s="37" t="s">
        <v>17</v>
      </c>
    </row>
    <row r="273" spans="1:12">
      <c r="A273" s="43" t="s">
        <v>778</v>
      </c>
      <c r="B273" s="36" t="s">
        <v>779</v>
      </c>
      <c r="C273" s="37" t="s">
        <v>14</v>
      </c>
      <c r="D273" s="37" t="s">
        <v>15</v>
      </c>
      <c r="E273" s="37" t="s">
        <v>62</v>
      </c>
      <c r="F273" s="38">
        <v>46184</v>
      </c>
      <c r="G273" s="39">
        <v>46157</v>
      </c>
      <c r="H273" s="44">
        <v>102.65</v>
      </c>
      <c r="I273" s="44">
        <v>25</v>
      </c>
      <c r="J273" s="39">
        <v>46189</v>
      </c>
      <c r="K273" s="36" t="s">
        <v>780</v>
      </c>
      <c r="L273" s="37" t="s">
        <v>17</v>
      </c>
    </row>
    <row r="274" spans="1:12">
      <c r="A274" s="43" t="s">
        <v>781</v>
      </c>
      <c r="B274" s="36" t="s">
        <v>782</v>
      </c>
      <c r="C274" s="37" t="s">
        <v>14</v>
      </c>
      <c r="D274" s="37" t="s">
        <v>783</v>
      </c>
      <c r="E274" s="37" t="s">
        <v>20</v>
      </c>
      <c r="F274" s="38">
        <v>46205</v>
      </c>
      <c r="G274" s="39">
        <v>46157</v>
      </c>
      <c r="H274" s="44">
        <v>58.09</v>
      </c>
      <c r="L274" s="37" t="s">
        <v>784</v>
      </c>
    </row>
    <row r="275" spans="1:12">
      <c r="A275" s="43" t="s">
        <v>785</v>
      </c>
      <c r="B275" s="36" t="s">
        <v>786</v>
      </c>
      <c r="C275" s="37" t="s">
        <v>14</v>
      </c>
      <c r="D275" s="37" t="s">
        <v>15</v>
      </c>
      <c r="E275" s="37" t="s">
        <v>16</v>
      </c>
      <c r="F275" s="38">
        <v>46183</v>
      </c>
      <c r="G275" s="39">
        <v>46154</v>
      </c>
      <c r="H275" s="44">
        <v>14.22</v>
      </c>
      <c r="I275" s="41">
        <f>H275</f>
        <v>14.22</v>
      </c>
      <c r="J275" s="39">
        <v>46188</v>
      </c>
      <c r="L275" s="37" t="s">
        <v>17</v>
      </c>
    </row>
    <row r="276" spans="1:12">
      <c r="A276" s="43" t="s">
        <v>787</v>
      </c>
      <c r="B276" s="36" t="s">
        <v>788</v>
      </c>
      <c r="C276" s="37" t="s">
        <v>14</v>
      </c>
      <c r="D276" s="37" t="s">
        <v>15</v>
      </c>
      <c r="E276" s="37" t="s">
        <v>169</v>
      </c>
      <c r="F276" s="38">
        <v>46189</v>
      </c>
      <c r="G276" s="39">
        <v>46157</v>
      </c>
      <c r="H276" s="44">
        <v>109.99</v>
      </c>
      <c r="I276" s="44">
        <v>44.67</v>
      </c>
      <c r="J276" s="39">
        <v>46192</v>
      </c>
      <c r="K276" s="36" t="s">
        <v>789</v>
      </c>
      <c r="L276" s="37" t="s">
        <v>17</v>
      </c>
    </row>
    <row r="277" spans="1:12">
      <c r="A277" s="43" t="s">
        <v>790</v>
      </c>
      <c r="B277" s="36" t="s">
        <v>791</v>
      </c>
      <c r="C277" s="37" t="s">
        <v>14</v>
      </c>
      <c r="D277" s="37" t="s">
        <v>15</v>
      </c>
      <c r="E277" s="37" t="s">
        <v>55</v>
      </c>
      <c r="F277" s="38">
        <v>46184</v>
      </c>
      <c r="G277" s="39">
        <v>46157</v>
      </c>
      <c r="H277" s="44">
        <v>84.99</v>
      </c>
      <c r="I277" s="44">
        <v>34.630000000000003</v>
      </c>
      <c r="J277" s="39">
        <v>46188</v>
      </c>
      <c r="K277" s="36" t="s">
        <v>792</v>
      </c>
      <c r="L277" s="37" t="s">
        <v>17</v>
      </c>
    </row>
    <row r="278" spans="1:12">
      <c r="A278" s="43" t="s">
        <v>793</v>
      </c>
      <c r="B278" s="36" t="s">
        <v>794</v>
      </c>
      <c r="C278" s="37" t="s">
        <v>14</v>
      </c>
      <c r="D278" s="37" t="s">
        <v>15</v>
      </c>
      <c r="E278" s="37" t="s">
        <v>16</v>
      </c>
      <c r="F278" s="38">
        <v>46183</v>
      </c>
      <c r="G278" s="39">
        <v>46157</v>
      </c>
      <c r="H278" s="44">
        <v>35.340000000000003</v>
      </c>
      <c r="I278" s="41">
        <f>H278</f>
        <v>35.340000000000003</v>
      </c>
      <c r="J278" s="39">
        <v>46188</v>
      </c>
      <c r="L278" s="37" t="s">
        <v>17</v>
      </c>
    </row>
    <row r="279" spans="1:12">
      <c r="A279" s="43" t="s">
        <v>795</v>
      </c>
      <c r="B279" s="36" t="s">
        <v>796</v>
      </c>
      <c r="C279" s="37" t="s">
        <v>14</v>
      </c>
      <c r="D279" s="37" t="s">
        <v>15</v>
      </c>
      <c r="E279" s="37" t="s">
        <v>20</v>
      </c>
      <c r="F279" s="38">
        <v>46205</v>
      </c>
      <c r="G279" s="39">
        <v>46157</v>
      </c>
      <c r="H279" s="44">
        <v>78.099999999999994</v>
      </c>
      <c r="I279" s="44">
        <v>19.37</v>
      </c>
      <c r="J279" s="39">
        <v>46210</v>
      </c>
      <c r="K279" s="36" t="s">
        <v>797</v>
      </c>
      <c r="L279" s="37" t="s">
        <v>17</v>
      </c>
    </row>
    <row r="280" spans="1:12">
      <c r="A280" s="43" t="s">
        <v>798</v>
      </c>
      <c r="B280" s="36" t="s">
        <v>799</v>
      </c>
      <c r="C280" s="37" t="s">
        <v>14</v>
      </c>
      <c r="D280" s="37" t="s">
        <v>15</v>
      </c>
      <c r="E280" s="37" t="s">
        <v>20</v>
      </c>
      <c r="F280" s="38">
        <v>46199</v>
      </c>
      <c r="G280" s="39">
        <v>46157</v>
      </c>
      <c r="H280" s="44">
        <v>96.82</v>
      </c>
      <c r="I280" s="44">
        <v>20.25</v>
      </c>
      <c r="J280" s="39">
        <v>46202</v>
      </c>
      <c r="K280" s="36" t="s">
        <v>800</v>
      </c>
      <c r="L280" s="37" t="s">
        <v>17</v>
      </c>
    </row>
    <row r="281" spans="1:12">
      <c r="A281" s="43" t="s">
        <v>801</v>
      </c>
      <c r="B281" s="36" t="s">
        <v>802</v>
      </c>
      <c r="C281" s="37" t="s">
        <v>14</v>
      </c>
      <c r="D281" s="37" t="s">
        <v>15</v>
      </c>
      <c r="E281" s="37" t="s">
        <v>58</v>
      </c>
      <c r="F281" s="38">
        <v>46189</v>
      </c>
      <c r="G281" s="39">
        <v>46157</v>
      </c>
      <c r="H281" s="44">
        <v>109.99</v>
      </c>
      <c r="I281" s="44">
        <v>45.02</v>
      </c>
      <c r="J281" s="39">
        <v>46192</v>
      </c>
      <c r="K281" s="36" t="s">
        <v>803</v>
      </c>
      <c r="L281" s="37" t="s">
        <v>17</v>
      </c>
    </row>
    <row r="282" spans="1:12">
      <c r="A282" s="43" t="s">
        <v>804</v>
      </c>
      <c r="B282" s="36" t="s">
        <v>805</v>
      </c>
      <c r="C282" s="37" t="s">
        <v>14</v>
      </c>
      <c r="D282" s="37" t="s">
        <v>15</v>
      </c>
      <c r="E282" s="37" t="s">
        <v>16</v>
      </c>
      <c r="F282" s="38">
        <v>46183</v>
      </c>
      <c r="G282" s="39">
        <v>46157</v>
      </c>
      <c r="H282" s="44">
        <v>3.24</v>
      </c>
      <c r="I282" s="41">
        <f>H282</f>
        <v>3.24</v>
      </c>
      <c r="J282" s="39">
        <v>46188</v>
      </c>
      <c r="L282" s="37" t="s">
        <v>17</v>
      </c>
    </row>
    <row r="283" spans="1:12">
      <c r="A283" s="43" t="s">
        <v>806</v>
      </c>
      <c r="B283" s="36" t="s">
        <v>807</v>
      </c>
      <c r="C283" s="37" t="s">
        <v>14</v>
      </c>
      <c r="D283" s="37" t="s">
        <v>15</v>
      </c>
      <c r="E283" s="37" t="s">
        <v>20</v>
      </c>
      <c r="F283" s="38">
        <v>46205</v>
      </c>
      <c r="G283" s="39">
        <v>46157</v>
      </c>
      <c r="H283" s="44">
        <v>113.11</v>
      </c>
      <c r="I283" s="44">
        <v>23.27</v>
      </c>
      <c r="J283" s="39">
        <v>46210</v>
      </c>
      <c r="K283" s="36" t="s">
        <v>808</v>
      </c>
      <c r="L283" s="37" t="s">
        <v>17</v>
      </c>
    </row>
    <row r="284" spans="1:12">
      <c r="A284" s="43" t="s">
        <v>809</v>
      </c>
      <c r="B284" s="36" t="s">
        <v>810</v>
      </c>
      <c r="C284" s="37" t="s">
        <v>14</v>
      </c>
      <c r="D284" s="37" t="s">
        <v>15</v>
      </c>
      <c r="E284" s="37" t="s">
        <v>169</v>
      </c>
      <c r="F284" s="38">
        <v>46185</v>
      </c>
      <c r="G284" s="39">
        <v>46157</v>
      </c>
      <c r="H284" s="44">
        <v>113.03</v>
      </c>
      <c r="I284" s="44">
        <v>45.77</v>
      </c>
      <c r="J284" s="39">
        <v>46189</v>
      </c>
      <c r="K284" s="36" t="s">
        <v>811</v>
      </c>
      <c r="L284" s="37" t="s">
        <v>17</v>
      </c>
    </row>
    <row r="285" spans="1:12">
      <c r="A285" s="43" t="s">
        <v>812</v>
      </c>
      <c r="B285" s="36" t="s">
        <v>813</v>
      </c>
      <c r="C285" s="37" t="s">
        <v>14</v>
      </c>
      <c r="D285" s="37" t="s">
        <v>15</v>
      </c>
      <c r="E285" s="37" t="s">
        <v>58</v>
      </c>
      <c r="F285" s="38">
        <v>46184</v>
      </c>
      <c r="G285" s="39">
        <v>46157</v>
      </c>
      <c r="H285" s="44">
        <v>67.97</v>
      </c>
      <c r="I285" s="44">
        <v>31.87</v>
      </c>
      <c r="J285" s="39">
        <v>46189</v>
      </c>
      <c r="K285" s="36" t="s">
        <v>814</v>
      </c>
      <c r="L285" s="37" t="s">
        <v>17</v>
      </c>
    </row>
    <row r="286" spans="1:12">
      <c r="A286" s="43" t="s">
        <v>815</v>
      </c>
      <c r="B286" s="36" t="s">
        <v>816</v>
      </c>
      <c r="C286" s="37" t="s">
        <v>14</v>
      </c>
      <c r="D286" s="37" t="s">
        <v>15</v>
      </c>
      <c r="E286" s="37" t="s">
        <v>16</v>
      </c>
      <c r="F286" s="38">
        <v>46183</v>
      </c>
      <c r="G286" s="39">
        <v>46157</v>
      </c>
      <c r="H286" s="44">
        <v>24.86</v>
      </c>
      <c r="I286" s="41">
        <f>H286</f>
        <v>24.86</v>
      </c>
      <c r="J286" s="39">
        <v>46188</v>
      </c>
      <c r="L286" s="37" t="s">
        <v>17</v>
      </c>
    </row>
    <row r="287" spans="1:12">
      <c r="A287" s="43" t="s">
        <v>817</v>
      </c>
      <c r="B287" s="36" t="s">
        <v>818</v>
      </c>
      <c r="C287" s="37" t="s">
        <v>14</v>
      </c>
      <c r="D287" s="37" t="s">
        <v>15</v>
      </c>
      <c r="E287" s="37" t="s">
        <v>23</v>
      </c>
      <c r="F287" s="38">
        <v>46184</v>
      </c>
      <c r="G287" s="39">
        <v>46157</v>
      </c>
      <c r="H287" s="44">
        <v>53.98</v>
      </c>
      <c r="I287" s="44">
        <v>30</v>
      </c>
      <c r="J287" s="39">
        <v>46188</v>
      </c>
      <c r="K287" s="36" t="s">
        <v>819</v>
      </c>
      <c r="L287" s="37" t="s">
        <v>17</v>
      </c>
    </row>
    <row r="288" spans="1:12">
      <c r="A288" s="43" t="s">
        <v>820</v>
      </c>
      <c r="B288" s="36" t="s">
        <v>821</v>
      </c>
      <c r="C288" s="37" t="s">
        <v>14</v>
      </c>
      <c r="D288" s="37" t="s">
        <v>15</v>
      </c>
      <c r="E288" s="37" t="s">
        <v>169</v>
      </c>
      <c r="F288" s="38">
        <v>46184</v>
      </c>
      <c r="G288" s="39">
        <v>46157</v>
      </c>
      <c r="H288" s="44">
        <v>61.11</v>
      </c>
      <c r="I288" s="44">
        <v>37.5</v>
      </c>
      <c r="J288" s="39">
        <v>46187</v>
      </c>
      <c r="K288" s="36" t="s">
        <v>822</v>
      </c>
      <c r="L288" s="37" t="s">
        <v>17</v>
      </c>
    </row>
    <row r="289" spans="1:12">
      <c r="A289" s="43" t="s">
        <v>823</v>
      </c>
      <c r="B289" s="36" t="s">
        <v>824</v>
      </c>
      <c r="C289" s="37" t="s">
        <v>14</v>
      </c>
      <c r="D289" s="37" t="s">
        <v>15</v>
      </c>
      <c r="E289" s="37" t="s">
        <v>20</v>
      </c>
      <c r="F289" s="38">
        <v>46205</v>
      </c>
      <c r="G289" s="39">
        <v>46157</v>
      </c>
      <c r="H289" s="44">
        <v>102.83</v>
      </c>
      <c r="I289" s="44">
        <v>20.91</v>
      </c>
      <c r="J289" s="39">
        <v>46209</v>
      </c>
      <c r="K289" s="36" t="s">
        <v>825</v>
      </c>
      <c r="L289" s="37" t="s">
        <v>17</v>
      </c>
    </row>
    <row r="290" spans="1:12">
      <c r="A290" s="43" t="s">
        <v>826</v>
      </c>
      <c r="B290" s="36" t="s">
        <v>827</v>
      </c>
      <c r="C290" s="37" t="s">
        <v>14</v>
      </c>
      <c r="D290" s="37" t="s">
        <v>15</v>
      </c>
      <c r="E290" s="37" t="s">
        <v>55</v>
      </c>
      <c r="F290" s="38">
        <v>46205</v>
      </c>
      <c r="G290" s="39">
        <v>46157</v>
      </c>
      <c r="H290" s="44">
        <v>129.99</v>
      </c>
      <c r="I290" s="44">
        <v>30</v>
      </c>
      <c r="J290" s="39">
        <v>46195</v>
      </c>
      <c r="K290" s="36" t="s">
        <v>828</v>
      </c>
      <c r="L290" s="37" t="s">
        <v>17</v>
      </c>
    </row>
    <row r="291" spans="1:12">
      <c r="A291" s="43" t="s">
        <v>829</v>
      </c>
      <c r="B291" s="36" t="s">
        <v>830</v>
      </c>
      <c r="C291" s="37" t="s">
        <v>14</v>
      </c>
      <c r="D291" s="37" t="s">
        <v>15</v>
      </c>
      <c r="E291" s="37" t="s">
        <v>58</v>
      </c>
      <c r="F291" s="38">
        <v>46189</v>
      </c>
      <c r="G291" s="39">
        <v>46157</v>
      </c>
      <c r="H291" s="44">
        <v>109.99</v>
      </c>
      <c r="I291" s="44">
        <v>44.64</v>
      </c>
      <c r="J291" s="39">
        <v>46193</v>
      </c>
      <c r="K291" s="36" t="s">
        <v>831</v>
      </c>
      <c r="L291" s="37" t="s">
        <v>17</v>
      </c>
    </row>
    <row r="292" spans="1:12">
      <c r="A292" s="43" t="s">
        <v>832</v>
      </c>
      <c r="B292" s="36" t="s">
        <v>833</v>
      </c>
      <c r="C292" s="37" t="s">
        <v>14</v>
      </c>
      <c r="D292" s="37" t="s">
        <v>15</v>
      </c>
      <c r="E292" s="37" t="s">
        <v>55</v>
      </c>
      <c r="F292" s="38">
        <v>46205</v>
      </c>
      <c r="G292" s="39">
        <v>46157</v>
      </c>
      <c r="H292" s="44">
        <v>109.99</v>
      </c>
      <c r="I292" s="44">
        <v>45.16</v>
      </c>
      <c r="J292" s="39">
        <v>46196</v>
      </c>
      <c r="K292" s="36" t="s">
        <v>834</v>
      </c>
      <c r="L292" s="37" t="s">
        <v>17</v>
      </c>
    </row>
    <row r="293" spans="1:12">
      <c r="A293" s="43" t="s">
        <v>835</v>
      </c>
      <c r="B293" s="36" t="s">
        <v>836</v>
      </c>
      <c r="C293" s="37" t="s">
        <v>14</v>
      </c>
      <c r="D293" s="37" t="s">
        <v>15</v>
      </c>
      <c r="E293" s="37" t="s">
        <v>55</v>
      </c>
      <c r="F293" s="38">
        <v>46184</v>
      </c>
      <c r="G293" s="39">
        <v>46157</v>
      </c>
      <c r="H293" s="44">
        <v>109.99</v>
      </c>
      <c r="I293" s="44">
        <v>44.9</v>
      </c>
      <c r="J293" s="39">
        <v>46189</v>
      </c>
      <c r="K293" s="36" t="s">
        <v>837</v>
      </c>
      <c r="L293" s="37" t="s">
        <v>17</v>
      </c>
    </row>
    <row r="294" spans="1:12">
      <c r="A294" s="43" t="s">
        <v>838</v>
      </c>
      <c r="B294" s="36" t="s">
        <v>839</v>
      </c>
      <c r="C294" s="37" t="s">
        <v>14</v>
      </c>
      <c r="D294" s="37" t="s">
        <v>15</v>
      </c>
      <c r="E294" s="37" t="s">
        <v>16</v>
      </c>
      <c r="F294" s="38">
        <v>46183</v>
      </c>
      <c r="G294" s="39">
        <v>46157</v>
      </c>
      <c r="H294" s="44">
        <v>3.58</v>
      </c>
      <c r="I294" s="41">
        <f>H294</f>
        <v>3.58</v>
      </c>
      <c r="J294" s="39">
        <v>46188</v>
      </c>
      <c r="L294" s="37" t="s">
        <v>17</v>
      </c>
    </row>
    <row r="295" spans="1:12">
      <c r="A295" s="43" t="s">
        <v>840</v>
      </c>
      <c r="B295" s="36" t="s">
        <v>841</v>
      </c>
      <c r="C295" s="37" t="s">
        <v>14</v>
      </c>
      <c r="D295" s="37" t="s">
        <v>15</v>
      </c>
      <c r="E295" s="37" t="s">
        <v>80</v>
      </c>
      <c r="F295" s="38">
        <v>46189</v>
      </c>
      <c r="G295" s="39">
        <v>46157</v>
      </c>
      <c r="H295" s="44">
        <v>110.12</v>
      </c>
      <c r="I295" s="44">
        <v>45.29</v>
      </c>
      <c r="J295" s="39">
        <v>46193</v>
      </c>
      <c r="K295" s="36" t="s">
        <v>842</v>
      </c>
      <c r="L295" s="37" t="s">
        <v>17</v>
      </c>
    </row>
    <row r="296" spans="1:12">
      <c r="A296" s="43" t="s">
        <v>843</v>
      </c>
      <c r="B296" s="36" t="s">
        <v>844</v>
      </c>
      <c r="C296" s="37" t="s">
        <v>14</v>
      </c>
      <c r="D296" s="37" t="s">
        <v>15</v>
      </c>
      <c r="E296" s="37" t="s">
        <v>58</v>
      </c>
      <c r="F296" s="38">
        <v>46184</v>
      </c>
      <c r="G296" s="39">
        <v>46157</v>
      </c>
      <c r="H296" s="44">
        <v>119.99</v>
      </c>
      <c r="I296" s="44">
        <v>82.45</v>
      </c>
      <c r="J296" s="39">
        <v>46188</v>
      </c>
      <c r="K296" s="36" t="s">
        <v>845</v>
      </c>
      <c r="L296" s="37" t="s">
        <v>17</v>
      </c>
    </row>
    <row r="297" spans="1:12">
      <c r="A297" s="43" t="s">
        <v>846</v>
      </c>
      <c r="B297" s="36" t="s">
        <v>847</v>
      </c>
      <c r="C297" s="37" t="s">
        <v>14</v>
      </c>
      <c r="D297" s="37" t="s">
        <v>15</v>
      </c>
      <c r="E297" s="37" t="s">
        <v>58</v>
      </c>
      <c r="F297" s="38">
        <v>46205</v>
      </c>
      <c r="G297" s="39">
        <v>46157</v>
      </c>
      <c r="H297" s="44">
        <v>112.73</v>
      </c>
      <c r="I297" s="44">
        <v>45.89</v>
      </c>
      <c r="J297" s="39">
        <v>46196</v>
      </c>
      <c r="K297" s="36" t="s">
        <v>848</v>
      </c>
      <c r="L297" s="37" t="s">
        <v>17</v>
      </c>
    </row>
    <row r="298" spans="1:12">
      <c r="A298" s="43" t="s">
        <v>849</v>
      </c>
      <c r="B298" s="36" t="s">
        <v>850</v>
      </c>
      <c r="C298" s="37" t="s">
        <v>14</v>
      </c>
      <c r="D298" s="37" t="s">
        <v>15</v>
      </c>
      <c r="E298" s="37" t="s">
        <v>58</v>
      </c>
      <c r="F298" s="38">
        <v>46192</v>
      </c>
      <c r="G298" s="39">
        <v>46157</v>
      </c>
      <c r="H298" s="44">
        <v>63.88</v>
      </c>
      <c r="I298" s="44">
        <v>28.69</v>
      </c>
      <c r="J298" s="39">
        <v>46188</v>
      </c>
      <c r="K298" s="36" t="s">
        <v>851</v>
      </c>
      <c r="L298" s="37" t="s">
        <v>17</v>
      </c>
    </row>
    <row r="299" spans="1:12">
      <c r="A299" s="43" t="s">
        <v>852</v>
      </c>
      <c r="B299" s="36" t="s">
        <v>853</v>
      </c>
      <c r="C299" s="37" t="s">
        <v>14</v>
      </c>
      <c r="D299" s="37" t="s">
        <v>15</v>
      </c>
      <c r="E299" s="37" t="s">
        <v>16</v>
      </c>
      <c r="F299" s="38">
        <v>46183</v>
      </c>
      <c r="G299" s="39">
        <v>46157</v>
      </c>
      <c r="H299" s="44">
        <v>7.11</v>
      </c>
      <c r="I299" s="41">
        <f>H299</f>
        <v>7.11</v>
      </c>
      <c r="J299" s="39">
        <v>46188</v>
      </c>
      <c r="L299" s="37" t="s">
        <v>17</v>
      </c>
    </row>
    <row r="300" spans="1:12">
      <c r="A300" s="43" t="s">
        <v>854</v>
      </c>
      <c r="B300" s="36" t="s">
        <v>855</v>
      </c>
      <c r="C300" s="37" t="s">
        <v>14</v>
      </c>
      <c r="D300" s="37" t="s">
        <v>15</v>
      </c>
      <c r="E300" s="37" t="s">
        <v>16</v>
      </c>
      <c r="F300" s="38">
        <v>46183</v>
      </c>
      <c r="G300" s="39">
        <v>46157</v>
      </c>
      <c r="H300" s="44">
        <v>11.61</v>
      </c>
      <c r="I300" s="41">
        <f>H300</f>
        <v>11.61</v>
      </c>
      <c r="J300" s="39">
        <v>46188</v>
      </c>
      <c r="L300" s="37" t="s">
        <v>17</v>
      </c>
    </row>
    <row r="301" spans="1:12">
      <c r="A301" s="43" t="s">
        <v>856</v>
      </c>
      <c r="B301" s="36" t="s">
        <v>857</v>
      </c>
      <c r="C301" s="37" t="s">
        <v>14</v>
      </c>
      <c r="D301" s="37" t="s">
        <v>15</v>
      </c>
      <c r="E301" s="37" t="s">
        <v>80</v>
      </c>
      <c r="F301" s="38">
        <v>46185</v>
      </c>
      <c r="G301" s="39">
        <v>46157</v>
      </c>
      <c r="H301" s="44">
        <v>53.26</v>
      </c>
      <c r="I301" s="44">
        <v>32.97</v>
      </c>
      <c r="J301" s="39">
        <v>46193</v>
      </c>
      <c r="K301" s="36" t="s">
        <v>858</v>
      </c>
      <c r="L301" s="37" t="s">
        <v>17</v>
      </c>
    </row>
    <row r="302" spans="1:12">
      <c r="A302" s="43" t="s">
        <v>859</v>
      </c>
      <c r="B302" s="36" t="s">
        <v>860</v>
      </c>
      <c r="C302" s="37" t="s">
        <v>14</v>
      </c>
      <c r="D302" s="37" t="s">
        <v>15</v>
      </c>
      <c r="E302" s="37" t="s">
        <v>16</v>
      </c>
      <c r="F302" s="38">
        <v>46183</v>
      </c>
      <c r="G302" s="39">
        <v>46157</v>
      </c>
      <c r="H302" s="44">
        <v>3.24</v>
      </c>
      <c r="I302" s="41">
        <f>H302</f>
        <v>3.24</v>
      </c>
      <c r="J302" s="39">
        <v>46188</v>
      </c>
      <c r="L302" s="37" t="s">
        <v>17</v>
      </c>
    </row>
    <row r="303" spans="1:12">
      <c r="A303" s="43" t="s">
        <v>861</v>
      </c>
      <c r="B303" s="36" t="s">
        <v>862</v>
      </c>
      <c r="C303" s="37" t="s">
        <v>14</v>
      </c>
      <c r="D303" s="37" t="s">
        <v>15</v>
      </c>
      <c r="E303" s="37" t="s">
        <v>360</v>
      </c>
      <c r="F303" s="38">
        <v>46184</v>
      </c>
      <c r="G303" s="39">
        <v>46157</v>
      </c>
      <c r="H303" s="44">
        <v>101.97</v>
      </c>
      <c r="I303" s="44">
        <v>21.49</v>
      </c>
      <c r="J303" s="39">
        <v>46189</v>
      </c>
      <c r="K303" s="36" t="s">
        <v>676</v>
      </c>
      <c r="L303" s="37" t="s">
        <v>17</v>
      </c>
    </row>
    <row r="304" spans="1:12">
      <c r="A304" s="43" t="s">
        <v>863</v>
      </c>
      <c r="B304" s="36" t="s">
        <v>864</v>
      </c>
      <c r="C304" s="37" t="s">
        <v>14</v>
      </c>
      <c r="D304" s="37" t="s">
        <v>15</v>
      </c>
      <c r="E304" s="37" t="s">
        <v>23</v>
      </c>
      <c r="F304" s="38">
        <v>46185</v>
      </c>
      <c r="G304" s="39">
        <v>46157</v>
      </c>
      <c r="H304" s="44">
        <v>109.99</v>
      </c>
      <c r="I304" s="44">
        <v>25</v>
      </c>
      <c r="J304" s="39">
        <v>46191</v>
      </c>
      <c r="K304" s="36" t="s">
        <v>865</v>
      </c>
      <c r="L304" s="37" t="s">
        <v>17</v>
      </c>
    </row>
    <row r="305" spans="1:12">
      <c r="A305" s="43" t="s">
        <v>866</v>
      </c>
      <c r="B305" s="36" t="s">
        <v>867</v>
      </c>
      <c r="C305" s="37" t="s">
        <v>14</v>
      </c>
      <c r="D305" s="37" t="s">
        <v>15</v>
      </c>
      <c r="E305" s="37" t="s">
        <v>55</v>
      </c>
      <c r="F305" s="38">
        <v>46184</v>
      </c>
      <c r="G305" s="39">
        <v>46157</v>
      </c>
      <c r="H305" s="44">
        <v>109.99</v>
      </c>
      <c r="I305" s="44">
        <v>59.62</v>
      </c>
      <c r="J305" s="39">
        <v>46188</v>
      </c>
      <c r="K305" s="36" t="s">
        <v>868</v>
      </c>
      <c r="L305" s="37" t="s">
        <v>17</v>
      </c>
    </row>
    <row r="306" spans="1:12">
      <c r="A306" s="43" t="s">
        <v>869</v>
      </c>
      <c r="B306" s="36" t="s">
        <v>870</v>
      </c>
      <c r="C306" s="37" t="s">
        <v>14</v>
      </c>
      <c r="D306" s="37" t="s">
        <v>15</v>
      </c>
      <c r="E306" s="37" t="s">
        <v>80</v>
      </c>
      <c r="F306" s="38">
        <v>46184</v>
      </c>
      <c r="G306" s="39">
        <v>46157</v>
      </c>
      <c r="H306" s="44">
        <v>186.98</v>
      </c>
      <c r="I306" s="44">
        <v>76.94</v>
      </c>
      <c r="J306" s="39">
        <v>46188</v>
      </c>
      <c r="K306" s="36" t="s">
        <v>871</v>
      </c>
      <c r="L306" s="37" t="s">
        <v>17</v>
      </c>
    </row>
    <row r="307" spans="1:12">
      <c r="A307" s="43" t="s">
        <v>872</v>
      </c>
      <c r="B307" s="36" t="s">
        <v>873</v>
      </c>
      <c r="C307" s="37" t="s">
        <v>14</v>
      </c>
      <c r="D307" s="37" t="s">
        <v>15</v>
      </c>
      <c r="E307" s="37" t="s">
        <v>58</v>
      </c>
      <c r="F307" s="38">
        <v>46184</v>
      </c>
      <c r="G307" s="39">
        <v>46157</v>
      </c>
      <c r="H307" s="44">
        <v>119.99</v>
      </c>
      <c r="I307" s="44">
        <v>60.6</v>
      </c>
      <c r="J307" s="39">
        <v>46187</v>
      </c>
      <c r="K307" s="36" t="s">
        <v>874</v>
      </c>
      <c r="L307" s="37" t="s">
        <v>17</v>
      </c>
    </row>
    <row r="308" spans="1:12">
      <c r="A308" s="43" t="s">
        <v>875</v>
      </c>
      <c r="B308" s="36" t="s">
        <v>876</v>
      </c>
      <c r="C308" s="37" t="s">
        <v>14</v>
      </c>
      <c r="D308" s="37" t="s">
        <v>15</v>
      </c>
      <c r="E308" s="37" t="s">
        <v>58</v>
      </c>
      <c r="F308" s="38">
        <v>46185</v>
      </c>
      <c r="G308" s="39">
        <v>46154</v>
      </c>
      <c r="H308" s="44">
        <v>109.99</v>
      </c>
      <c r="I308" s="44">
        <v>44.67</v>
      </c>
      <c r="J308" s="39">
        <v>46189</v>
      </c>
      <c r="K308" s="36" t="s">
        <v>877</v>
      </c>
      <c r="L308" s="37" t="s">
        <v>17</v>
      </c>
    </row>
    <row r="309" spans="1:12">
      <c r="A309" s="43" t="s">
        <v>878</v>
      </c>
      <c r="B309" s="36" t="s">
        <v>879</v>
      </c>
      <c r="C309" s="37" t="s">
        <v>14</v>
      </c>
      <c r="D309" s="37" t="s">
        <v>15</v>
      </c>
      <c r="E309" s="37" t="s">
        <v>16</v>
      </c>
      <c r="F309" s="38">
        <v>46183</v>
      </c>
      <c r="G309" s="39">
        <v>46157</v>
      </c>
      <c r="H309" s="44">
        <v>3.58</v>
      </c>
      <c r="I309" s="41">
        <f>H309</f>
        <v>3.58</v>
      </c>
      <c r="J309" s="39">
        <v>46188</v>
      </c>
      <c r="L309" s="37" t="s">
        <v>17</v>
      </c>
    </row>
    <row r="310" spans="1:12">
      <c r="A310" s="43" t="s">
        <v>880</v>
      </c>
      <c r="B310" s="36" t="s">
        <v>881</v>
      </c>
      <c r="C310" s="37" t="s">
        <v>14</v>
      </c>
      <c r="D310" s="37" t="s">
        <v>15</v>
      </c>
      <c r="E310" s="37" t="s">
        <v>55</v>
      </c>
      <c r="F310" s="38">
        <v>46190</v>
      </c>
      <c r="G310" s="39">
        <v>46157</v>
      </c>
      <c r="H310" s="44">
        <v>102.94</v>
      </c>
      <c r="I310" s="44">
        <v>43.22</v>
      </c>
      <c r="J310" s="39">
        <v>46195</v>
      </c>
      <c r="K310" s="36" t="s">
        <v>882</v>
      </c>
      <c r="L310" s="37" t="s">
        <v>17</v>
      </c>
    </row>
    <row r="311" spans="1:12">
      <c r="A311" s="43" t="s">
        <v>883</v>
      </c>
      <c r="B311" s="36" t="s">
        <v>884</v>
      </c>
      <c r="C311" s="37" t="s">
        <v>14</v>
      </c>
      <c r="D311" s="37" t="s">
        <v>15</v>
      </c>
      <c r="E311" s="37" t="s">
        <v>55</v>
      </c>
      <c r="F311" s="38">
        <v>46190</v>
      </c>
      <c r="G311" s="39">
        <v>46157</v>
      </c>
      <c r="H311" s="44">
        <v>99.99</v>
      </c>
      <c r="I311" s="44">
        <v>40.61</v>
      </c>
      <c r="J311" s="39">
        <v>46194</v>
      </c>
      <c r="K311" s="36" t="s">
        <v>885</v>
      </c>
      <c r="L311" s="37" t="s">
        <v>17</v>
      </c>
    </row>
    <row r="312" spans="1:12">
      <c r="A312" s="43" t="s">
        <v>886</v>
      </c>
      <c r="B312" s="36" t="s">
        <v>887</v>
      </c>
      <c r="C312" s="37" t="s">
        <v>14</v>
      </c>
      <c r="D312" s="37" t="s">
        <v>15</v>
      </c>
      <c r="E312" s="37" t="s">
        <v>55</v>
      </c>
      <c r="F312" s="38">
        <v>46190</v>
      </c>
      <c r="G312" s="39">
        <v>46157</v>
      </c>
      <c r="H312" s="44">
        <v>109.99</v>
      </c>
      <c r="I312" s="44">
        <v>24.33</v>
      </c>
      <c r="J312" s="39">
        <v>46193</v>
      </c>
      <c r="K312" s="36" t="s">
        <v>888</v>
      </c>
      <c r="L312" s="37" t="s">
        <v>17</v>
      </c>
    </row>
    <row r="313" spans="1:12">
      <c r="A313" s="43" t="s">
        <v>889</v>
      </c>
      <c r="B313" s="36" t="s">
        <v>890</v>
      </c>
      <c r="C313" s="37" t="s">
        <v>14</v>
      </c>
      <c r="D313" s="37" t="s">
        <v>15</v>
      </c>
      <c r="E313" s="37" t="s">
        <v>55</v>
      </c>
      <c r="F313" s="38">
        <v>46190</v>
      </c>
      <c r="G313" s="39">
        <v>46157</v>
      </c>
      <c r="H313" s="44">
        <v>94.8</v>
      </c>
      <c r="I313" s="44">
        <v>44.44</v>
      </c>
      <c r="J313" s="39">
        <v>46194</v>
      </c>
      <c r="K313" s="36" t="s">
        <v>891</v>
      </c>
      <c r="L313" s="37" t="s">
        <v>17</v>
      </c>
    </row>
    <row r="314" spans="1:12">
      <c r="A314" s="43" t="s">
        <v>892</v>
      </c>
      <c r="B314" s="36" t="s">
        <v>893</v>
      </c>
      <c r="C314" s="37" t="s">
        <v>14</v>
      </c>
      <c r="D314" s="37" t="s">
        <v>15</v>
      </c>
      <c r="E314" s="37" t="s">
        <v>80</v>
      </c>
      <c r="F314" s="38">
        <v>46185</v>
      </c>
      <c r="G314" s="39">
        <v>46157</v>
      </c>
      <c r="H314" s="44">
        <v>56.8</v>
      </c>
      <c r="I314" s="44">
        <v>25</v>
      </c>
      <c r="J314" s="39">
        <v>46188</v>
      </c>
      <c r="K314" s="36" t="s">
        <v>780</v>
      </c>
      <c r="L314" s="37" t="s">
        <v>17</v>
      </c>
    </row>
    <row r="315" spans="1:12">
      <c r="A315" s="43" t="s">
        <v>894</v>
      </c>
      <c r="B315" s="36" t="s">
        <v>895</v>
      </c>
      <c r="C315" s="37" t="s">
        <v>14</v>
      </c>
      <c r="D315" s="37" t="s">
        <v>15</v>
      </c>
      <c r="E315" s="37" t="s">
        <v>58</v>
      </c>
      <c r="F315" s="38">
        <v>46184</v>
      </c>
      <c r="G315" s="39">
        <v>46157</v>
      </c>
      <c r="H315" s="44">
        <v>109.99</v>
      </c>
      <c r="I315" s="44">
        <v>35.03</v>
      </c>
      <c r="J315" s="39">
        <v>46186</v>
      </c>
      <c r="K315" s="36" t="s">
        <v>896</v>
      </c>
      <c r="L315" s="37" t="s">
        <v>17</v>
      </c>
    </row>
    <row r="316" spans="1:12">
      <c r="A316" s="43" t="s">
        <v>897</v>
      </c>
      <c r="B316" s="36" t="s">
        <v>898</v>
      </c>
      <c r="C316" s="37" t="s">
        <v>14</v>
      </c>
      <c r="D316" s="37" t="s">
        <v>15</v>
      </c>
      <c r="E316" s="37" t="s">
        <v>80</v>
      </c>
      <c r="F316" s="38">
        <v>46184</v>
      </c>
      <c r="G316" s="39">
        <v>46157</v>
      </c>
      <c r="H316" s="44">
        <v>112.96</v>
      </c>
      <c r="I316" s="55">
        <v>68.239999999999995</v>
      </c>
      <c r="J316" s="39">
        <v>46188</v>
      </c>
      <c r="K316" s="36" t="s">
        <v>899</v>
      </c>
      <c r="L316" s="37" t="s">
        <v>17</v>
      </c>
    </row>
    <row r="317" spans="1:12">
      <c r="A317" s="43" t="s">
        <v>900</v>
      </c>
      <c r="B317" s="36" t="s">
        <v>901</v>
      </c>
      <c r="C317" s="37" t="s">
        <v>14</v>
      </c>
      <c r="D317" s="37" t="s">
        <v>15</v>
      </c>
      <c r="E317" s="37" t="s">
        <v>55</v>
      </c>
      <c r="F317" s="38">
        <v>46184</v>
      </c>
      <c r="G317" s="39">
        <v>46157</v>
      </c>
      <c r="H317" s="44">
        <v>99.99</v>
      </c>
      <c r="I317" s="44">
        <v>59.44</v>
      </c>
      <c r="J317" s="39">
        <v>46188</v>
      </c>
      <c r="K317" s="36" t="s">
        <v>902</v>
      </c>
      <c r="L317" s="37" t="s">
        <v>17</v>
      </c>
    </row>
    <row r="318" spans="1:12">
      <c r="A318" s="43" t="s">
        <v>903</v>
      </c>
      <c r="B318" s="36" t="s">
        <v>904</v>
      </c>
      <c r="C318" s="37" t="s">
        <v>14</v>
      </c>
      <c r="D318" s="37" t="s">
        <v>15</v>
      </c>
      <c r="E318" s="37" t="s">
        <v>55</v>
      </c>
      <c r="F318" s="38">
        <v>46190</v>
      </c>
      <c r="G318" s="39">
        <v>46154</v>
      </c>
      <c r="H318" s="44">
        <v>109.99</v>
      </c>
      <c r="I318" s="44">
        <v>22.59</v>
      </c>
      <c r="J318" s="39" t="s">
        <v>905</v>
      </c>
      <c r="K318" s="36" t="s">
        <v>906</v>
      </c>
      <c r="L318" s="37" t="s">
        <v>17</v>
      </c>
    </row>
    <row r="319" spans="1:12">
      <c r="A319" s="43" t="s">
        <v>907</v>
      </c>
      <c r="B319" s="36" t="s">
        <v>908</v>
      </c>
      <c r="C319" s="37" t="s">
        <v>14</v>
      </c>
      <c r="D319" s="37" t="s">
        <v>15</v>
      </c>
      <c r="E319" s="37" t="s">
        <v>169</v>
      </c>
      <c r="F319" s="38">
        <v>46185</v>
      </c>
      <c r="G319" s="39">
        <v>46157</v>
      </c>
      <c r="H319" s="44">
        <v>99.99</v>
      </c>
      <c r="I319" s="44">
        <v>41.03</v>
      </c>
      <c r="J319" s="39">
        <v>46189</v>
      </c>
      <c r="K319" s="36" t="s">
        <v>909</v>
      </c>
      <c r="L319" s="37" t="s">
        <v>17</v>
      </c>
    </row>
    <row r="320" spans="1:12">
      <c r="A320" s="43" t="s">
        <v>910</v>
      </c>
      <c r="B320" s="36" t="s">
        <v>911</v>
      </c>
      <c r="C320" s="37" t="s">
        <v>14</v>
      </c>
      <c r="D320" s="37" t="s">
        <v>15</v>
      </c>
      <c r="E320" s="37" t="s">
        <v>16</v>
      </c>
      <c r="F320" s="38">
        <v>46183</v>
      </c>
      <c r="G320" s="39">
        <v>46154</v>
      </c>
      <c r="H320" s="44">
        <v>14.22</v>
      </c>
      <c r="I320" s="41">
        <f>H320</f>
        <v>14.22</v>
      </c>
      <c r="J320" s="39">
        <v>46188</v>
      </c>
      <c r="L320" s="37" t="s">
        <v>17</v>
      </c>
    </row>
    <row r="321" spans="1:12">
      <c r="A321" s="43" t="s">
        <v>912</v>
      </c>
      <c r="B321" s="36" t="s">
        <v>913</v>
      </c>
      <c r="C321" s="37" t="s">
        <v>14</v>
      </c>
      <c r="D321" s="37" t="s">
        <v>15</v>
      </c>
      <c r="E321" s="37" t="s">
        <v>16</v>
      </c>
      <c r="F321" s="38">
        <v>46183</v>
      </c>
      <c r="G321" s="39">
        <v>46154</v>
      </c>
      <c r="H321" s="44">
        <v>7.1</v>
      </c>
      <c r="I321" s="41">
        <f>H321</f>
        <v>7.1</v>
      </c>
      <c r="J321" s="39">
        <v>46188</v>
      </c>
      <c r="L321" s="37" t="s">
        <v>17</v>
      </c>
    </row>
    <row r="322" spans="1:12">
      <c r="A322" s="43" t="s">
        <v>914</v>
      </c>
      <c r="B322" s="36" t="s">
        <v>915</v>
      </c>
      <c r="C322" s="37" t="s">
        <v>14</v>
      </c>
      <c r="D322" s="37" t="s">
        <v>15</v>
      </c>
      <c r="E322" s="37" t="s">
        <v>58</v>
      </c>
      <c r="F322" s="38">
        <v>46185</v>
      </c>
      <c r="G322" s="39">
        <v>46157</v>
      </c>
      <c r="H322" s="44">
        <v>113.06</v>
      </c>
      <c r="I322" s="44">
        <v>35</v>
      </c>
      <c r="J322" s="39">
        <v>46188</v>
      </c>
      <c r="K322" s="36" t="s">
        <v>916</v>
      </c>
      <c r="L322" s="37" t="s">
        <v>17</v>
      </c>
    </row>
    <row r="323" spans="1:12">
      <c r="A323" s="43" t="s">
        <v>917</v>
      </c>
      <c r="B323" s="36" t="s">
        <v>918</v>
      </c>
      <c r="C323" s="37" t="s">
        <v>14</v>
      </c>
      <c r="D323" s="37" t="s">
        <v>15</v>
      </c>
      <c r="E323" s="37" t="s">
        <v>58</v>
      </c>
      <c r="F323" s="38">
        <v>46184</v>
      </c>
      <c r="G323" s="39">
        <v>46157</v>
      </c>
      <c r="H323" s="44">
        <v>99.99</v>
      </c>
      <c r="I323" s="44">
        <v>37.200000000000003</v>
      </c>
      <c r="J323" s="39">
        <v>46189</v>
      </c>
      <c r="K323" s="36" t="s">
        <v>919</v>
      </c>
      <c r="L323" s="37" t="s">
        <v>17</v>
      </c>
    </row>
    <row r="324" spans="1:12">
      <c r="A324" s="43" t="s">
        <v>920</v>
      </c>
      <c r="B324" s="36" t="s">
        <v>921</v>
      </c>
      <c r="C324" s="37" t="s">
        <v>14</v>
      </c>
      <c r="D324" s="37" t="s">
        <v>15</v>
      </c>
      <c r="E324" s="37" t="s">
        <v>23</v>
      </c>
      <c r="F324" s="38">
        <v>46185</v>
      </c>
      <c r="G324" s="39">
        <v>46157</v>
      </c>
      <c r="H324" s="44">
        <v>111.31</v>
      </c>
      <c r="I324" s="44">
        <v>34.07</v>
      </c>
      <c r="J324" s="39">
        <v>46188</v>
      </c>
      <c r="K324" s="36" t="s">
        <v>922</v>
      </c>
      <c r="L324" s="37" t="s">
        <v>17</v>
      </c>
    </row>
    <row r="325" spans="1:12">
      <c r="A325" s="43" t="s">
        <v>923</v>
      </c>
      <c r="B325" s="36" t="s">
        <v>924</v>
      </c>
      <c r="C325" s="37" t="s">
        <v>14</v>
      </c>
      <c r="D325" s="37" t="s">
        <v>15</v>
      </c>
      <c r="E325" s="37" t="s">
        <v>16</v>
      </c>
      <c r="F325" s="38">
        <v>46183</v>
      </c>
      <c r="G325" s="39">
        <v>46157</v>
      </c>
      <c r="H325" s="44">
        <v>24.86</v>
      </c>
      <c r="I325" s="41">
        <f>H325</f>
        <v>24.86</v>
      </c>
      <c r="J325" s="39">
        <v>46188</v>
      </c>
      <c r="L325" s="37" t="s">
        <v>17</v>
      </c>
    </row>
    <row r="326" spans="1:12">
      <c r="A326" s="43" t="s">
        <v>925</v>
      </c>
      <c r="B326" s="36" t="s">
        <v>926</v>
      </c>
      <c r="C326" s="37" t="s">
        <v>14</v>
      </c>
      <c r="D326" s="37" t="s">
        <v>15</v>
      </c>
      <c r="E326" s="37" t="s">
        <v>55</v>
      </c>
      <c r="F326" s="38">
        <v>46184</v>
      </c>
      <c r="G326" s="39">
        <v>46157</v>
      </c>
      <c r="H326" s="44">
        <v>109.99</v>
      </c>
      <c r="I326" s="44">
        <v>57.45</v>
      </c>
      <c r="J326" s="39">
        <v>46189</v>
      </c>
      <c r="K326" s="36" t="s">
        <v>927</v>
      </c>
      <c r="L326" s="37" t="s">
        <v>17</v>
      </c>
    </row>
    <row r="327" spans="1:12">
      <c r="A327" s="43" t="s">
        <v>928</v>
      </c>
      <c r="B327" s="36" t="s">
        <v>929</v>
      </c>
      <c r="C327" s="37" t="s">
        <v>14</v>
      </c>
      <c r="D327" s="37" t="s">
        <v>15</v>
      </c>
      <c r="E327" s="37" t="s">
        <v>55</v>
      </c>
      <c r="F327" s="38">
        <v>46190</v>
      </c>
      <c r="G327" s="39">
        <v>46157</v>
      </c>
      <c r="H327" s="44">
        <v>42.61</v>
      </c>
      <c r="I327" s="44">
        <v>15.39</v>
      </c>
      <c r="J327" s="39">
        <v>46195</v>
      </c>
      <c r="K327" s="36" t="s">
        <v>930</v>
      </c>
      <c r="L327" s="37" t="s">
        <v>17</v>
      </c>
    </row>
    <row r="328" spans="1:12">
      <c r="A328" s="43" t="s">
        <v>931</v>
      </c>
      <c r="B328" s="36" t="s">
        <v>932</v>
      </c>
      <c r="C328" s="37" t="s">
        <v>14</v>
      </c>
      <c r="D328" s="37" t="s">
        <v>15</v>
      </c>
      <c r="E328" s="37" t="s">
        <v>55</v>
      </c>
      <c r="F328" s="38">
        <v>46184</v>
      </c>
      <c r="G328" s="39">
        <v>46157</v>
      </c>
      <c r="H328" s="44">
        <v>99.99</v>
      </c>
      <c r="I328" s="44">
        <v>46.91</v>
      </c>
      <c r="J328" s="39">
        <v>46188</v>
      </c>
      <c r="K328" s="36" t="s">
        <v>933</v>
      </c>
      <c r="L328" s="37" t="s">
        <v>17</v>
      </c>
    </row>
    <row r="329" spans="1:12">
      <c r="A329" s="43" t="s">
        <v>934</v>
      </c>
      <c r="B329" s="36" t="s">
        <v>935</v>
      </c>
      <c r="C329" s="37" t="s">
        <v>14</v>
      </c>
      <c r="D329" s="37" t="s">
        <v>15</v>
      </c>
      <c r="E329" s="37" t="s">
        <v>16</v>
      </c>
      <c r="F329" s="38">
        <v>46183</v>
      </c>
      <c r="G329" s="39">
        <v>46157</v>
      </c>
      <c r="H329" s="44">
        <v>7.11</v>
      </c>
      <c r="I329" s="41">
        <f>H329</f>
        <v>7.11</v>
      </c>
      <c r="J329" s="39">
        <v>46188</v>
      </c>
      <c r="L329" s="37" t="s">
        <v>17</v>
      </c>
    </row>
    <row r="330" spans="1:12">
      <c r="A330" s="43" t="s">
        <v>936</v>
      </c>
      <c r="B330" s="36" t="s">
        <v>937</v>
      </c>
      <c r="C330" s="37" t="s">
        <v>14</v>
      </c>
      <c r="D330" s="37" t="s">
        <v>15</v>
      </c>
      <c r="E330" s="37" t="s">
        <v>23</v>
      </c>
      <c r="F330" s="38">
        <v>46185</v>
      </c>
      <c r="G330" s="39">
        <v>46157</v>
      </c>
      <c r="H330" s="44">
        <v>139.99</v>
      </c>
      <c r="I330" s="44">
        <v>30</v>
      </c>
      <c r="J330" s="39">
        <v>46189</v>
      </c>
      <c r="K330" s="36" t="s">
        <v>938</v>
      </c>
      <c r="L330" s="37" t="s">
        <v>17</v>
      </c>
    </row>
    <row r="331" spans="1:12">
      <c r="A331" s="43" t="s">
        <v>939</v>
      </c>
      <c r="B331" s="36" t="s">
        <v>940</v>
      </c>
      <c r="C331" s="37" t="s">
        <v>14</v>
      </c>
      <c r="D331" s="37" t="s">
        <v>15</v>
      </c>
      <c r="E331" s="37" t="s">
        <v>55</v>
      </c>
      <c r="F331" s="38">
        <v>46190</v>
      </c>
      <c r="G331" s="39">
        <v>46157</v>
      </c>
      <c r="H331" s="44">
        <v>129.99</v>
      </c>
      <c r="I331" s="44">
        <v>53.44</v>
      </c>
      <c r="J331" s="39">
        <v>46193</v>
      </c>
      <c r="K331" s="36" t="s">
        <v>941</v>
      </c>
      <c r="L331" s="37" t="s">
        <v>17</v>
      </c>
    </row>
    <row r="332" spans="1:12">
      <c r="A332" s="43" t="s">
        <v>942</v>
      </c>
      <c r="B332" s="36" t="s">
        <v>943</v>
      </c>
      <c r="C332" s="37" t="s">
        <v>14</v>
      </c>
      <c r="D332" s="37" t="s">
        <v>15</v>
      </c>
      <c r="E332" s="37" t="s">
        <v>55</v>
      </c>
      <c r="F332" s="38">
        <v>46190</v>
      </c>
      <c r="G332" s="39">
        <v>46157</v>
      </c>
      <c r="H332" s="44">
        <v>63.88</v>
      </c>
      <c r="I332" s="44">
        <v>51.66</v>
      </c>
      <c r="J332" s="39">
        <v>46193</v>
      </c>
      <c r="K332" s="36" t="s">
        <v>944</v>
      </c>
      <c r="L332" s="37" t="s">
        <v>17</v>
      </c>
    </row>
    <row r="333" spans="1:12">
      <c r="A333" s="43" t="s">
        <v>945</v>
      </c>
      <c r="B333" s="36" t="s">
        <v>946</v>
      </c>
      <c r="C333" s="37" t="s">
        <v>14</v>
      </c>
      <c r="D333" s="37" t="s">
        <v>15</v>
      </c>
      <c r="E333" s="37" t="s">
        <v>169</v>
      </c>
      <c r="F333" s="38">
        <v>46192</v>
      </c>
      <c r="G333" s="39">
        <v>46157</v>
      </c>
      <c r="H333" s="44">
        <v>109.99</v>
      </c>
      <c r="I333" s="44">
        <v>45.07</v>
      </c>
      <c r="J333" s="39">
        <v>46189</v>
      </c>
      <c r="K333" s="36" t="s">
        <v>947</v>
      </c>
      <c r="L333" s="37" t="s">
        <v>17</v>
      </c>
    </row>
    <row r="334" spans="1:12">
      <c r="A334" s="43" t="s">
        <v>948</v>
      </c>
      <c r="B334" s="36" t="s">
        <v>949</v>
      </c>
      <c r="C334" s="37" t="s">
        <v>14</v>
      </c>
      <c r="D334" s="37" t="s">
        <v>15</v>
      </c>
      <c r="E334" s="37" t="s">
        <v>23</v>
      </c>
      <c r="F334" s="38">
        <v>46184</v>
      </c>
      <c r="G334" s="39">
        <v>46157</v>
      </c>
      <c r="H334" s="44">
        <v>103.18</v>
      </c>
      <c r="I334" s="44">
        <v>50</v>
      </c>
      <c r="J334" s="39">
        <v>46188</v>
      </c>
      <c r="K334" s="36" t="s">
        <v>950</v>
      </c>
      <c r="L334" s="37" t="s">
        <v>17</v>
      </c>
    </row>
    <row r="335" spans="1:12">
      <c r="A335" s="43" t="s">
        <v>948</v>
      </c>
      <c r="B335" s="36" t="s">
        <v>951</v>
      </c>
      <c r="C335" s="37" t="s">
        <v>14</v>
      </c>
      <c r="D335" s="37" t="s">
        <v>15</v>
      </c>
      <c r="E335" s="37" t="s">
        <v>23</v>
      </c>
      <c r="F335" s="38">
        <v>46195</v>
      </c>
      <c r="G335" s="39">
        <v>46157</v>
      </c>
      <c r="H335" s="44">
        <v>99.99</v>
      </c>
      <c r="I335" s="44">
        <v>50</v>
      </c>
      <c r="J335" s="39">
        <v>46188</v>
      </c>
      <c r="K335" s="36" t="s">
        <v>950</v>
      </c>
      <c r="L335" s="37" t="s">
        <v>17</v>
      </c>
    </row>
    <row r="336" spans="1:12">
      <c r="A336" s="43" t="s">
        <v>952</v>
      </c>
      <c r="B336" s="36" t="s">
        <v>953</v>
      </c>
      <c r="C336" s="37" t="s">
        <v>14</v>
      </c>
      <c r="D336" s="37" t="s">
        <v>15</v>
      </c>
      <c r="E336" s="37" t="s">
        <v>55</v>
      </c>
      <c r="F336" s="38">
        <v>46190</v>
      </c>
      <c r="G336" s="39">
        <v>46157</v>
      </c>
      <c r="H336" s="44">
        <v>120.31</v>
      </c>
      <c r="I336" s="44">
        <v>49.37</v>
      </c>
      <c r="J336" s="39">
        <v>46193</v>
      </c>
      <c r="K336" s="36" t="s">
        <v>954</v>
      </c>
      <c r="L336" s="37" t="s">
        <v>17</v>
      </c>
    </row>
    <row r="337" spans="1:12">
      <c r="A337" s="43" t="s">
        <v>955</v>
      </c>
      <c r="B337" s="36" t="s">
        <v>956</v>
      </c>
      <c r="C337" s="37" t="s">
        <v>14</v>
      </c>
      <c r="D337" s="37" t="s">
        <v>15</v>
      </c>
      <c r="E337" s="37" t="s">
        <v>16</v>
      </c>
      <c r="F337" s="38">
        <v>46183</v>
      </c>
      <c r="G337" s="39">
        <v>46157</v>
      </c>
      <c r="H337" s="44">
        <v>3.36</v>
      </c>
      <c r="I337" s="41">
        <f>H337</f>
        <v>3.36</v>
      </c>
      <c r="J337" s="39">
        <v>46188</v>
      </c>
      <c r="L337" s="37" t="s">
        <v>17</v>
      </c>
    </row>
    <row r="338" spans="1:12">
      <c r="A338" s="43" t="s">
        <v>957</v>
      </c>
      <c r="B338" s="36" t="s">
        <v>958</v>
      </c>
      <c r="C338" s="37" t="s">
        <v>14</v>
      </c>
      <c r="D338" s="37" t="s">
        <v>15</v>
      </c>
      <c r="E338" s="37" t="s">
        <v>169</v>
      </c>
      <c r="F338" s="38">
        <v>46189</v>
      </c>
      <c r="G338" s="39">
        <v>46157</v>
      </c>
      <c r="H338" s="44">
        <v>129.99</v>
      </c>
      <c r="I338" s="44">
        <v>56.37</v>
      </c>
      <c r="J338" s="39">
        <v>46193</v>
      </c>
      <c r="K338" s="36" t="s">
        <v>959</v>
      </c>
      <c r="L338" s="37" t="s">
        <v>17</v>
      </c>
    </row>
    <row r="339" spans="1:12">
      <c r="A339" s="43" t="s">
        <v>960</v>
      </c>
      <c r="B339" s="36" t="s">
        <v>961</v>
      </c>
      <c r="C339" s="37" t="s">
        <v>14</v>
      </c>
      <c r="D339" s="37" t="s">
        <v>15</v>
      </c>
      <c r="E339" s="37" t="s">
        <v>55</v>
      </c>
      <c r="F339" s="38">
        <v>46205</v>
      </c>
      <c r="G339" s="39">
        <v>46157</v>
      </c>
      <c r="H339" s="44">
        <v>101.61</v>
      </c>
      <c r="I339" s="44">
        <v>40</v>
      </c>
      <c r="J339" s="39">
        <v>46195</v>
      </c>
      <c r="K339" s="36" t="s">
        <v>962</v>
      </c>
      <c r="L339" s="37" t="s">
        <v>17</v>
      </c>
    </row>
    <row r="340" spans="1:12">
      <c r="A340" s="43" t="s">
        <v>963</v>
      </c>
      <c r="B340" s="36" t="s">
        <v>964</v>
      </c>
      <c r="C340" s="37" t="s">
        <v>14</v>
      </c>
      <c r="D340" s="37" t="s">
        <v>15</v>
      </c>
      <c r="E340" s="37" t="s">
        <v>55</v>
      </c>
      <c r="F340" s="38">
        <v>46191</v>
      </c>
      <c r="G340" s="39">
        <v>46157</v>
      </c>
      <c r="H340" s="44">
        <v>99.99</v>
      </c>
      <c r="I340" s="44">
        <v>30</v>
      </c>
      <c r="J340" s="39" t="s">
        <v>905</v>
      </c>
      <c r="K340" s="36" t="s">
        <v>965</v>
      </c>
      <c r="L340" s="37" t="s">
        <v>17</v>
      </c>
    </row>
    <row r="341" spans="1:12">
      <c r="A341" s="43" t="s">
        <v>966</v>
      </c>
      <c r="B341" s="36" t="s">
        <v>967</v>
      </c>
      <c r="C341" s="37" t="s">
        <v>14</v>
      </c>
      <c r="D341" s="37" t="s">
        <v>15</v>
      </c>
      <c r="E341" s="37" t="s">
        <v>23</v>
      </c>
      <c r="F341" s="38">
        <v>46205</v>
      </c>
      <c r="G341" s="39">
        <v>46157</v>
      </c>
      <c r="H341" s="44">
        <v>102.29</v>
      </c>
      <c r="I341" s="44">
        <v>41.56</v>
      </c>
      <c r="J341" s="39">
        <v>46195</v>
      </c>
      <c r="K341" s="36" t="s">
        <v>968</v>
      </c>
      <c r="L341" s="37" t="s">
        <v>17</v>
      </c>
    </row>
    <row r="342" spans="1:12">
      <c r="A342" s="43" t="s">
        <v>969</v>
      </c>
      <c r="B342" s="36" t="s">
        <v>970</v>
      </c>
      <c r="C342" s="37" t="s">
        <v>14</v>
      </c>
      <c r="D342" s="37" t="s">
        <v>15</v>
      </c>
      <c r="E342" s="37" t="s">
        <v>16</v>
      </c>
      <c r="F342" s="38">
        <v>46183</v>
      </c>
      <c r="G342" s="39">
        <v>46157</v>
      </c>
      <c r="H342" s="44">
        <v>3.24</v>
      </c>
      <c r="I342" s="41">
        <f>H342</f>
        <v>3.24</v>
      </c>
      <c r="J342" s="39">
        <v>46188</v>
      </c>
      <c r="L342" s="37" t="s">
        <v>17</v>
      </c>
    </row>
    <row r="343" spans="1:12">
      <c r="A343" s="43" t="s">
        <v>971</v>
      </c>
      <c r="B343" s="36" t="s">
        <v>972</v>
      </c>
      <c r="C343" s="37" t="s">
        <v>14</v>
      </c>
      <c r="D343" s="37" t="s">
        <v>15</v>
      </c>
      <c r="E343" s="37" t="s">
        <v>169</v>
      </c>
      <c r="F343" s="38">
        <v>46191</v>
      </c>
      <c r="G343" s="39">
        <v>46157</v>
      </c>
      <c r="H343" s="44">
        <v>46.17</v>
      </c>
      <c r="I343" s="44">
        <v>35.520000000000003</v>
      </c>
      <c r="J343" s="39">
        <v>46194</v>
      </c>
      <c r="K343" s="36" t="s">
        <v>973</v>
      </c>
      <c r="L343" s="37" t="s">
        <v>17</v>
      </c>
    </row>
    <row r="344" spans="1:12">
      <c r="A344" s="43" t="s">
        <v>974</v>
      </c>
      <c r="B344" s="36" t="s">
        <v>975</v>
      </c>
      <c r="C344" s="37" t="s">
        <v>14</v>
      </c>
      <c r="D344" s="37" t="s">
        <v>15</v>
      </c>
      <c r="E344" s="37" t="s">
        <v>80</v>
      </c>
      <c r="F344" s="38">
        <v>46205</v>
      </c>
      <c r="G344" s="39">
        <v>46157</v>
      </c>
      <c r="H344" s="44">
        <v>99.99</v>
      </c>
      <c r="I344" s="44">
        <v>41.25</v>
      </c>
      <c r="J344" s="39">
        <v>46196</v>
      </c>
      <c r="K344" s="36" t="s">
        <v>976</v>
      </c>
      <c r="L344" s="37" t="s">
        <v>17</v>
      </c>
    </row>
    <row r="345" spans="1:12">
      <c r="A345" s="43" t="s">
        <v>977</v>
      </c>
      <c r="B345" s="36" t="s">
        <v>978</v>
      </c>
      <c r="C345" s="37" t="s">
        <v>14</v>
      </c>
      <c r="D345" s="37" t="s">
        <v>15</v>
      </c>
      <c r="E345" s="37" t="s">
        <v>16</v>
      </c>
      <c r="F345" s="38">
        <v>46183</v>
      </c>
      <c r="G345" s="39">
        <v>46157</v>
      </c>
      <c r="H345" s="44">
        <v>6.49</v>
      </c>
      <c r="I345" s="41">
        <f>H345</f>
        <v>6.49</v>
      </c>
      <c r="J345" s="39">
        <v>46188</v>
      </c>
      <c r="L345" s="37" t="s">
        <v>17</v>
      </c>
    </row>
    <row r="346" spans="1:12">
      <c r="A346" s="43" t="s">
        <v>979</v>
      </c>
      <c r="B346" s="36" t="s">
        <v>980</v>
      </c>
      <c r="C346" s="37" t="s">
        <v>14</v>
      </c>
      <c r="D346" s="37" t="s">
        <v>15</v>
      </c>
      <c r="E346" s="37" t="s">
        <v>16</v>
      </c>
      <c r="F346" s="38">
        <v>46183</v>
      </c>
      <c r="G346" s="39">
        <v>46157</v>
      </c>
      <c r="H346" s="44">
        <v>32.31</v>
      </c>
      <c r="I346" s="41">
        <f>H346</f>
        <v>32.31</v>
      </c>
      <c r="J346" s="39">
        <v>46188</v>
      </c>
      <c r="L346" s="37" t="s">
        <v>17</v>
      </c>
    </row>
    <row r="347" spans="1:12">
      <c r="A347" s="43" t="s">
        <v>981</v>
      </c>
      <c r="B347" s="36" t="s">
        <v>982</v>
      </c>
      <c r="C347" s="37" t="s">
        <v>14</v>
      </c>
      <c r="D347" s="37" t="s">
        <v>15</v>
      </c>
      <c r="F347" s="38">
        <v>46205</v>
      </c>
      <c r="G347" s="39">
        <v>46157</v>
      </c>
      <c r="H347" s="44">
        <v>111.7</v>
      </c>
      <c r="I347" s="44">
        <v>39.79</v>
      </c>
      <c r="J347" s="39">
        <v>46197</v>
      </c>
      <c r="K347" s="36" t="s">
        <v>983</v>
      </c>
      <c r="L347" s="37" t="s">
        <v>17</v>
      </c>
    </row>
    <row r="348" spans="1:12">
      <c r="A348" s="43" t="s">
        <v>984</v>
      </c>
      <c r="B348" s="36" t="s">
        <v>985</v>
      </c>
      <c r="C348" s="37" t="s">
        <v>14</v>
      </c>
      <c r="D348" s="37" t="s">
        <v>15</v>
      </c>
      <c r="E348" s="37" t="s">
        <v>55</v>
      </c>
      <c r="F348" s="38">
        <v>46205</v>
      </c>
      <c r="G348" s="39">
        <v>46157</v>
      </c>
      <c r="H348" s="44">
        <v>99.99</v>
      </c>
      <c r="I348" s="44">
        <v>51.19</v>
      </c>
      <c r="J348" s="39" t="s">
        <v>905</v>
      </c>
      <c r="K348" s="36" t="s">
        <v>986</v>
      </c>
      <c r="L348" s="37" t="s">
        <v>17</v>
      </c>
    </row>
    <row r="349" spans="1:12">
      <c r="A349" s="43" t="s">
        <v>987</v>
      </c>
      <c r="B349" s="36" t="s">
        <v>988</v>
      </c>
      <c r="C349" s="37" t="s">
        <v>14</v>
      </c>
      <c r="D349" s="37" t="s">
        <v>15</v>
      </c>
      <c r="E349" s="37" t="s">
        <v>62</v>
      </c>
      <c r="F349" s="38">
        <v>46205</v>
      </c>
      <c r="G349" s="39">
        <v>46157</v>
      </c>
      <c r="H349" s="44">
        <v>109.99</v>
      </c>
      <c r="I349" s="44">
        <v>63.12</v>
      </c>
      <c r="J349" s="39">
        <v>46196</v>
      </c>
      <c r="K349" s="36" t="s">
        <v>989</v>
      </c>
      <c r="L349" s="37" t="s">
        <v>17</v>
      </c>
    </row>
    <row r="350" spans="1:12">
      <c r="A350" s="43" t="s">
        <v>990</v>
      </c>
      <c r="B350" s="36" t="s">
        <v>991</v>
      </c>
      <c r="C350" s="37" t="s">
        <v>14</v>
      </c>
      <c r="D350" s="37" t="s">
        <v>15</v>
      </c>
      <c r="E350" s="37" t="s">
        <v>55</v>
      </c>
      <c r="F350" s="38">
        <v>46205</v>
      </c>
      <c r="G350" s="39">
        <v>46157</v>
      </c>
      <c r="H350" s="44">
        <v>100.84</v>
      </c>
      <c r="I350" s="44">
        <v>40.799999999999997</v>
      </c>
      <c r="J350" s="39">
        <v>46196</v>
      </c>
      <c r="K350" s="36" t="s">
        <v>992</v>
      </c>
      <c r="L350" s="37" t="s">
        <v>17</v>
      </c>
    </row>
    <row r="351" spans="1:12">
      <c r="A351" s="43" t="s">
        <v>993</v>
      </c>
      <c r="B351" s="36" t="s">
        <v>994</v>
      </c>
      <c r="C351" s="37" t="s">
        <v>14</v>
      </c>
      <c r="D351" s="37" t="s">
        <v>15</v>
      </c>
      <c r="E351" s="37" t="s">
        <v>55</v>
      </c>
      <c r="F351" s="38">
        <v>46205</v>
      </c>
      <c r="G351" s="39">
        <v>46157</v>
      </c>
      <c r="H351" s="44">
        <v>99.99</v>
      </c>
      <c r="I351" s="44">
        <v>41.05</v>
      </c>
      <c r="J351" s="39">
        <v>46197</v>
      </c>
      <c r="K351" s="36" t="s">
        <v>995</v>
      </c>
      <c r="L351" s="37" t="s">
        <v>17</v>
      </c>
    </row>
    <row r="352" spans="1:12">
      <c r="A352" s="43" t="s">
        <v>996</v>
      </c>
      <c r="B352" s="36" t="s">
        <v>997</v>
      </c>
      <c r="C352" s="37" t="s">
        <v>14</v>
      </c>
      <c r="D352" s="37" t="s">
        <v>15</v>
      </c>
      <c r="E352" s="37" t="s">
        <v>998</v>
      </c>
      <c r="F352" s="38">
        <v>46185</v>
      </c>
      <c r="G352" s="39">
        <v>46157</v>
      </c>
      <c r="H352" s="44">
        <v>54.89</v>
      </c>
      <c r="I352" s="44">
        <v>11.31</v>
      </c>
      <c r="J352" s="39">
        <v>46193</v>
      </c>
      <c r="K352" s="36" t="s">
        <v>999</v>
      </c>
      <c r="L352" s="37" t="s">
        <v>17</v>
      </c>
    </row>
    <row r="353" spans="1:12">
      <c r="A353" s="43" t="s">
        <v>1000</v>
      </c>
      <c r="B353" s="36" t="s">
        <v>1001</v>
      </c>
      <c r="C353" s="37" t="s">
        <v>14</v>
      </c>
      <c r="D353" s="37" t="s">
        <v>15</v>
      </c>
      <c r="E353" s="37" t="s">
        <v>16</v>
      </c>
      <c r="F353" s="38">
        <v>46183</v>
      </c>
      <c r="G353" s="39">
        <v>46157</v>
      </c>
      <c r="H353" s="44">
        <v>6.47</v>
      </c>
      <c r="I353" s="41">
        <f>H353</f>
        <v>6.47</v>
      </c>
      <c r="J353" s="39">
        <v>46188</v>
      </c>
      <c r="L353" s="37" t="s">
        <v>17</v>
      </c>
    </row>
    <row r="354" spans="1:12">
      <c r="A354" s="43" t="s">
        <v>1002</v>
      </c>
      <c r="B354" s="36" t="s">
        <v>1003</v>
      </c>
      <c r="C354" s="37" t="s">
        <v>14</v>
      </c>
      <c r="D354" s="37" t="s">
        <v>15</v>
      </c>
      <c r="E354" s="37" t="s">
        <v>55</v>
      </c>
      <c r="F354" s="38">
        <v>46205</v>
      </c>
      <c r="G354" s="39">
        <v>46157</v>
      </c>
      <c r="H354" s="44">
        <v>49.99</v>
      </c>
      <c r="I354" s="44">
        <v>20.58</v>
      </c>
      <c r="J354" s="39">
        <v>46195</v>
      </c>
      <c r="K354" s="36" t="s">
        <v>1004</v>
      </c>
      <c r="L354" s="37" t="s">
        <v>17</v>
      </c>
    </row>
    <row r="355" spans="1:12">
      <c r="A355" s="43" t="s">
        <v>604</v>
      </c>
      <c r="B355" s="36" t="s">
        <v>605</v>
      </c>
      <c r="C355" s="37" t="s">
        <v>14</v>
      </c>
      <c r="D355" s="37" t="s">
        <v>15</v>
      </c>
      <c r="E355" s="37" t="s">
        <v>16</v>
      </c>
      <c r="F355" s="38">
        <v>46183</v>
      </c>
      <c r="G355" s="39">
        <v>46157</v>
      </c>
      <c r="H355" s="44">
        <v>7.11</v>
      </c>
      <c r="I355" s="41">
        <f>H355</f>
        <v>7.11</v>
      </c>
      <c r="J355" s="39">
        <v>46188</v>
      </c>
      <c r="L355" s="37" t="s">
        <v>17</v>
      </c>
    </row>
    <row r="356" spans="1:12">
      <c r="A356" s="43" t="s">
        <v>608</v>
      </c>
      <c r="B356" s="36" t="s">
        <v>609</v>
      </c>
      <c r="C356" s="37" t="s">
        <v>14</v>
      </c>
      <c r="D356" s="37" t="s">
        <v>15</v>
      </c>
      <c r="E356" s="37" t="s">
        <v>16</v>
      </c>
      <c r="F356" s="38">
        <v>46183</v>
      </c>
      <c r="G356" s="39">
        <v>46157</v>
      </c>
      <c r="H356" s="44">
        <v>3.58</v>
      </c>
      <c r="I356" s="41">
        <f>H356</f>
        <v>3.58</v>
      </c>
      <c r="J356" s="39">
        <v>46188</v>
      </c>
      <c r="L356" s="37" t="s">
        <v>17</v>
      </c>
    </row>
    <row r="357" spans="1:12">
      <c r="A357" s="43" t="s">
        <v>1005</v>
      </c>
      <c r="B357" s="36" t="s">
        <v>1006</v>
      </c>
      <c r="C357" s="37" t="s">
        <v>14</v>
      </c>
      <c r="D357" s="37" t="s">
        <v>15</v>
      </c>
      <c r="E357" s="37" t="s">
        <v>55</v>
      </c>
      <c r="F357" s="38">
        <v>46192</v>
      </c>
      <c r="G357" s="39">
        <v>46154</v>
      </c>
      <c r="H357" s="41">
        <v>100.64</v>
      </c>
      <c r="I357" s="41">
        <v>50.09</v>
      </c>
      <c r="J357" s="39">
        <v>46186</v>
      </c>
      <c r="K357" s="36" t="s">
        <v>1007</v>
      </c>
      <c r="L357" s="37" t="s">
        <v>17</v>
      </c>
    </row>
    <row r="358" spans="1:12">
      <c r="A358" s="43" t="s">
        <v>1008</v>
      </c>
      <c r="B358" s="36" t="s">
        <v>1009</v>
      </c>
      <c r="C358" s="37" t="s">
        <v>14</v>
      </c>
      <c r="D358" s="37" t="s">
        <v>15</v>
      </c>
      <c r="E358" s="37" t="s">
        <v>16</v>
      </c>
      <c r="F358" s="38">
        <v>46183</v>
      </c>
      <c r="G358" s="39">
        <v>46154</v>
      </c>
      <c r="H358" s="41">
        <v>29.83</v>
      </c>
      <c r="I358" s="41">
        <f>H358</f>
        <v>29.83</v>
      </c>
      <c r="J358" s="39">
        <v>46188</v>
      </c>
      <c r="L358" s="37" t="s">
        <v>17</v>
      </c>
    </row>
    <row r="359" spans="1:12">
      <c r="A359" s="43" t="s">
        <v>1010</v>
      </c>
      <c r="B359" s="36" t="s">
        <v>1011</v>
      </c>
      <c r="C359" s="37" t="s">
        <v>14</v>
      </c>
      <c r="D359" s="37" t="s">
        <v>15</v>
      </c>
      <c r="E359" s="37" t="s">
        <v>16</v>
      </c>
      <c r="F359" s="38">
        <v>46183</v>
      </c>
      <c r="G359" s="39">
        <v>46157</v>
      </c>
      <c r="H359" s="41">
        <v>29.06</v>
      </c>
      <c r="I359" s="41">
        <f>H359</f>
        <v>29.06</v>
      </c>
      <c r="J359" s="39">
        <v>46188</v>
      </c>
      <c r="L359" s="37" t="s">
        <v>17</v>
      </c>
    </row>
    <row r="360" spans="1:12">
      <c r="A360" s="43" t="s">
        <v>1012</v>
      </c>
      <c r="B360" s="36" t="s">
        <v>1013</v>
      </c>
      <c r="C360" s="37" t="s">
        <v>14</v>
      </c>
      <c r="D360" s="37" t="s">
        <v>15</v>
      </c>
      <c r="E360" s="37" t="s">
        <v>16</v>
      </c>
      <c r="F360" s="38">
        <v>46183</v>
      </c>
      <c r="G360" s="39">
        <v>46157</v>
      </c>
      <c r="H360" s="41">
        <v>29.06</v>
      </c>
      <c r="I360" s="41">
        <f>H360</f>
        <v>29.06</v>
      </c>
      <c r="J360" s="39">
        <v>46188</v>
      </c>
      <c r="L360" s="37" t="s">
        <v>17</v>
      </c>
    </row>
    <row r="361" spans="1:12">
      <c r="A361" t="s">
        <v>1014</v>
      </c>
      <c r="B361" t="s">
        <v>1015</v>
      </c>
      <c r="C361" s="37" t="s">
        <v>473</v>
      </c>
      <c r="D361" s="37" t="s">
        <v>15</v>
      </c>
      <c r="E361" s="37" t="s">
        <v>20</v>
      </c>
      <c r="F361" s="38">
        <v>46184</v>
      </c>
      <c r="G361" s="39">
        <v>46096</v>
      </c>
      <c r="H361" s="54">
        <v>63.4</v>
      </c>
      <c r="I361" s="41">
        <v>19.489999999999998</v>
      </c>
      <c r="J361" s="39">
        <v>46188</v>
      </c>
      <c r="K361" s="36" t="s">
        <v>1016</v>
      </c>
      <c r="L361" s="37" t="s">
        <v>17</v>
      </c>
    </row>
    <row r="362" spans="1:12">
      <c r="A362" t="s">
        <v>1017</v>
      </c>
      <c r="B362" t="s">
        <v>1018</v>
      </c>
      <c r="C362" s="37" t="s">
        <v>473</v>
      </c>
      <c r="D362" s="37" t="s">
        <v>15</v>
      </c>
      <c r="E362" s="37" t="s">
        <v>16</v>
      </c>
      <c r="F362" s="38">
        <v>46191</v>
      </c>
      <c r="G362" s="39">
        <v>46096</v>
      </c>
      <c r="H362" s="54">
        <v>74.040000000000006</v>
      </c>
      <c r="I362" s="41"/>
      <c r="L362" s="37" t="s">
        <v>17</v>
      </c>
    </row>
    <row r="363" spans="1:12">
      <c r="A363" t="s">
        <v>1019</v>
      </c>
      <c r="B363" t="s">
        <v>1020</v>
      </c>
      <c r="C363" s="37" t="s">
        <v>473</v>
      </c>
      <c r="D363" s="37" t="s">
        <v>15</v>
      </c>
      <c r="E363" s="37" t="s">
        <v>20</v>
      </c>
      <c r="F363" s="38">
        <v>46184</v>
      </c>
      <c r="G363" s="39">
        <v>46096</v>
      </c>
      <c r="H363" s="54">
        <v>57.26</v>
      </c>
      <c r="I363" s="41">
        <v>17.14</v>
      </c>
      <c r="J363" s="39">
        <v>46188</v>
      </c>
      <c r="K363" s="36" t="s">
        <v>1021</v>
      </c>
      <c r="L363" s="37" t="s">
        <v>17</v>
      </c>
    </row>
    <row r="364" spans="1:12">
      <c r="A364" t="s">
        <v>1022</v>
      </c>
      <c r="B364" t="s">
        <v>1023</v>
      </c>
      <c r="C364" s="37" t="s">
        <v>473</v>
      </c>
      <c r="D364" s="37" t="s">
        <v>15</v>
      </c>
      <c r="E364" s="37" t="s">
        <v>20</v>
      </c>
      <c r="F364" s="38">
        <v>46184</v>
      </c>
      <c r="G364" s="39">
        <v>46096</v>
      </c>
      <c r="H364" s="54">
        <v>51.27</v>
      </c>
      <c r="I364" s="41">
        <v>14.95</v>
      </c>
      <c r="J364" s="39">
        <v>46188</v>
      </c>
      <c r="K364" s="36" t="s">
        <v>1024</v>
      </c>
      <c r="L364" s="37" t="s">
        <v>17</v>
      </c>
    </row>
    <row r="365" spans="1:12">
      <c r="A365" t="s">
        <v>1025</v>
      </c>
      <c r="B365" t="s">
        <v>1026</v>
      </c>
      <c r="C365" s="37" t="s">
        <v>473</v>
      </c>
      <c r="D365" s="37" t="s">
        <v>15</v>
      </c>
      <c r="E365" s="37" t="s">
        <v>20</v>
      </c>
      <c r="F365" s="38">
        <v>46184</v>
      </c>
      <c r="G365" s="39">
        <v>46096</v>
      </c>
      <c r="H365" s="54">
        <v>52.99</v>
      </c>
      <c r="I365" s="41">
        <v>9.0299999999999994</v>
      </c>
      <c r="J365" s="39">
        <v>46188</v>
      </c>
      <c r="K365" s="36" t="s">
        <v>1027</v>
      </c>
      <c r="L365" s="37" t="s">
        <v>17</v>
      </c>
    </row>
    <row r="366" spans="1:12">
      <c r="A366" t="s">
        <v>1028</v>
      </c>
      <c r="B366" t="s">
        <v>1029</v>
      </c>
      <c r="C366" s="37" t="s">
        <v>473</v>
      </c>
      <c r="D366" s="37" t="s">
        <v>15</v>
      </c>
      <c r="E366" s="37" t="s">
        <v>20</v>
      </c>
      <c r="F366" s="38">
        <v>46184</v>
      </c>
      <c r="G366" s="39">
        <v>46096</v>
      </c>
      <c r="H366" s="54">
        <v>49.99</v>
      </c>
      <c r="I366" s="41">
        <v>14.84</v>
      </c>
      <c r="J366" s="39">
        <v>46188</v>
      </c>
      <c r="K366" s="36" t="s">
        <v>1030</v>
      </c>
      <c r="L366" s="37" t="s">
        <v>17</v>
      </c>
    </row>
    <row r="367" spans="1:12">
      <c r="A367" t="s">
        <v>1031</v>
      </c>
      <c r="B367" t="s">
        <v>1032</v>
      </c>
      <c r="C367" s="37" t="s">
        <v>473</v>
      </c>
      <c r="D367" s="37" t="s">
        <v>15</v>
      </c>
      <c r="E367" s="37" t="s">
        <v>20</v>
      </c>
      <c r="F367" s="38">
        <v>46184</v>
      </c>
      <c r="G367" s="39">
        <v>46096</v>
      </c>
      <c r="H367" s="54">
        <v>50.8</v>
      </c>
      <c r="I367" s="41">
        <v>14.73</v>
      </c>
      <c r="J367" s="39">
        <v>46188</v>
      </c>
      <c r="K367" s="36" t="s">
        <v>1033</v>
      </c>
      <c r="L367" s="37" t="s">
        <v>17</v>
      </c>
    </row>
    <row r="368" spans="1:12">
      <c r="A368" t="s">
        <v>1034</v>
      </c>
      <c r="B368" t="s">
        <v>1035</v>
      </c>
      <c r="C368" s="37" t="s">
        <v>473</v>
      </c>
      <c r="D368" s="37" t="s">
        <v>15</v>
      </c>
      <c r="E368" s="37" t="s">
        <v>20</v>
      </c>
      <c r="F368" s="38">
        <v>46184</v>
      </c>
      <c r="G368" s="39">
        <v>46101</v>
      </c>
      <c r="H368" s="54">
        <v>944.81</v>
      </c>
      <c r="I368" s="41">
        <v>253.87</v>
      </c>
      <c r="J368" s="39">
        <v>46188</v>
      </c>
      <c r="K368" s="36" t="s">
        <v>1036</v>
      </c>
      <c r="L368" s="37" t="s">
        <v>17</v>
      </c>
    </row>
    <row r="369" spans="1:12">
      <c r="A369" t="s">
        <v>1037</v>
      </c>
      <c r="B369" t="s">
        <v>1038</v>
      </c>
      <c r="C369" s="37" t="s">
        <v>473</v>
      </c>
      <c r="D369" s="37" t="s">
        <v>15</v>
      </c>
      <c r="E369" s="37" t="s">
        <v>16</v>
      </c>
      <c r="F369" s="38">
        <v>46191</v>
      </c>
      <c r="G369" s="39">
        <v>46096</v>
      </c>
      <c r="H369" s="54">
        <v>54.89</v>
      </c>
      <c r="I369" s="41"/>
      <c r="L369" s="37" t="s">
        <v>17</v>
      </c>
    </row>
    <row r="370" spans="1:12">
      <c r="A370" t="s">
        <v>661</v>
      </c>
      <c r="B370" t="s">
        <v>662</v>
      </c>
      <c r="C370" s="37" t="s">
        <v>473</v>
      </c>
      <c r="D370" s="37" t="s">
        <v>15</v>
      </c>
      <c r="E370" s="37" t="s">
        <v>16</v>
      </c>
      <c r="F370" s="38">
        <v>46191</v>
      </c>
      <c r="G370" s="39">
        <v>46096</v>
      </c>
      <c r="H370" s="54">
        <v>79.989999999999995</v>
      </c>
      <c r="I370" s="41"/>
      <c r="L370" s="37" t="s">
        <v>17</v>
      </c>
    </row>
    <row r="371" spans="1:12">
      <c r="A371" t="s">
        <v>1039</v>
      </c>
      <c r="B371" t="s">
        <v>1040</v>
      </c>
      <c r="C371" s="37" t="s">
        <v>473</v>
      </c>
      <c r="D371" s="37" t="s">
        <v>15</v>
      </c>
      <c r="E371" s="37" t="s">
        <v>20</v>
      </c>
      <c r="F371" s="38">
        <v>46185</v>
      </c>
      <c r="G371" s="39">
        <v>46101</v>
      </c>
      <c r="H371" s="54">
        <v>135.97</v>
      </c>
      <c r="I371" s="41">
        <v>41.08</v>
      </c>
      <c r="J371" s="39">
        <v>46193</v>
      </c>
      <c r="K371" s="36" t="s">
        <v>1041</v>
      </c>
      <c r="L371" s="37" t="s">
        <v>17</v>
      </c>
    </row>
    <row r="372" spans="1:12">
      <c r="A372" t="s">
        <v>1042</v>
      </c>
      <c r="B372" t="s">
        <v>1043</v>
      </c>
      <c r="C372" s="37" t="s">
        <v>473</v>
      </c>
      <c r="D372" s="37" t="s">
        <v>15</v>
      </c>
      <c r="E372" s="37" t="s">
        <v>20</v>
      </c>
      <c r="F372" s="38">
        <v>46185</v>
      </c>
      <c r="G372" s="39">
        <v>46101</v>
      </c>
      <c r="H372" s="54">
        <v>89.99</v>
      </c>
      <c r="I372" s="41">
        <v>26.58</v>
      </c>
      <c r="J372" s="39">
        <v>46193</v>
      </c>
      <c r="K372" s="36" t="s">
        <v>1044</v>
      </c>
      <c r="L372" s="37" t="s">
        <v>17</v>
      </c>
    </row>
    <row r="373" spans="1:12">
      <c r="A373" t="s">
        <v>1045</v>
      </c>
      <c r="B373" t="s">
        <v>1046</v>
      </c>
      <c r="C373" s="37" t="s">
        <v>473</v>
      </c>
      <c r="D373" s="37" t="s">
        <v>15</v>
      </c>
      <c r="E373" s="37" t="s">
        <v>20</v>
      </c>
      <c r="F373" s="38">
        <v>46185</v>
      </c>
      <c r="G373" s="39">
        <v>46101</v>
      </c>
      <c r="H373" s="54">
        <v>100.55</v>
      </c>
      <c r="I373" s="41">
        <v>20.58</v>
      </c>
      <c r="J373" s="39">
        <v>46193</v>
      </c>
      <c r="K373" s="36" t="s">
        <v>1047</v>
      </c>
      <c r="L373" s="37" t="s">
        <v>17</v>
      </c>
    </row>
    <row r="374" spans="1:12">
      <c r="A374" t="s">
        <v>1048</v>
      </c>
      <c r="B374" t="s">
        <v>1049</v>
      </c>
      <c r="C374" s="37" t="s">
        <v>473</v>
      </c>
      <c r="D374" s="37" t="s">
        <v>15</v>
      </c>
      <c r="E374" s="37" t="s">
        <v>20</v>
      </c>
      <c r="F374" s="38">
        <v>46185</v>
      </c>
      <c r="G374" s="39">
        <v>46101</v>
      </c>
      <c r="H374" s="54">
        <v>269.97000000000003</v>
      </c>
      <c r="I374" s="41">
        <v>135.69</v>
      </c>
      <c r="J374" s="39">
        <v>46193</v>
      </c>
      <c r="K374" s="36" t="s">
        <v>1050</v>
      </c>
      <c r="L374" s="37" t="s">
        <v>17</v>
      </c>
    </row>
    <row r="375" spans="1:12">
      <c r="A375" t="s">
        <v>1051</v>
      </c>
      <c r="B375" t="s">
        <v>1052</v>
      </c>
      <c r="C375" s="37" t="s">
        <v>473</v>
      </c>
      <c r="D375" s="37" t="s">
        <v>15</v>
      </c>
      <c r="E375" s="37" t="s">
        <v>20</v>
      </c>
      <c r="F375" s="38">
        <v>46185</v>
      </c>
      <c r="G375" s="39">
        <v>46101</v>
      </c>
      <c r="H375" s="54">
        <v>121.63</v>
      </c>
      <c r="I375" s="41">
        <v>48.81</v>
      </c>
      <c r="J375" s="39">
        <v>46193</v>
      </c>
      <c r="K375" s="36" t="s">
        <v>1053</v>
      </c>
      <c r="L375" s="37" t="s">
        <v>17</v>
      </c>
    </row>
    <row r="376" spans="1:12">
      <c r="A376" t="s">
        <v>1054</v>
      </c>
      <c r="B376" t="s">
        <v>1055</v>
      </c>
      <c r="C376" s="37" t="s">
        <v>473</v>
      </c>
      <c r="D376" s="37" t="s">
        <v>15</v>
      </c>
      <c r="E376" s="37" t="s">
        <v>20</v>
      </c>
      <c r="F376" s="38">
        <v>46185</v>
      </c>
      <c r="G376" s="39">
        <v>46101</v>
      </c>
      <c r="H376" s="54">
        <v>149.93</v>
      </c>
      <c r="I376" s="41">
        <v>44.28</v>
      </c>
      <c r="J376" s="39">
        <v>46193</v>
      </c>
      <c r="K376" s="36" t="s">
        <v>1056</v>
      </c>
      <c r="L376" s="37" t="s">
        <v>17</v>
      </c>
    </row>
    <row r="377" spans="1:12">
      <c r="A377" t="s">
        <v>1057</v>
      </c>
      <c r="B377" t="s">
        <v>1058</v>
      </c>
      <c r="C377" s="37" t="s">
        <v>473</v>
      </c>
      <c r="D377" s="37" t="s">
        <v>15</v>
      </c>
      <c r="E377" s="37" t="s">
        <v>20</v>
      </c>
      <c r="F377" s="38">
        <v>46185</v>
      </c>
      <c r="G377" s="39">
        <v>46101</v>
      </c>
      <c r="H377" s="54">
        <v>159.96</v>
      </c>
      <c r="I377" s="41">
        <v>47.25</v>
      </c>
      <c r="J377" s="39">
        <v>46193</v>
      </c>
      <c r="K377" s="36" t="s">
        <v>1059</v>
      </c>
      <c r="L377" s="37" t="s">
        <v>17</v>
      </c>
    </row>
    <row r="378" spans="1:12">
      <c r="A378" t="s">
        <v>1060</v>
      </c>
      <c r="B378" t="s">
        <v>1061</v>
      </c>
      <c r="C378" s="37" t="s">
        <v>473</v>
      </c>
      <c r="D378" s="37" t="s">
        <v>15</v>
      </c>
      <c r="E378" s="37" t="s">
        <v>20</v>
      </c>
      <c r="F378" s="38">
        <v>46185</v>
      </c>
      <c r="G378" s="39">
        <v>46101</v>
      </c>
      <c r="H378" s="54">
        <v>149.99</v>
      </c>
      <c r="I378" s="41">
        <v>65.25</v>
      </c>
      <c r="J378" s="39">
        <v>46193</v>
      </c>
      <c r="K378" s="36" t="s">
        <v>1062</v>
      </c>
      <c r="L378" s="37" t="s">
        <v>17</v>
      </c>
    </row>
    <row r="379" spans="1:12">
      <c r="A379" t="s">
        <v>1063</v>
      </c>
      <c r="B379" t="s">
        <v>1064</v>
      </c>
      <c r="C379" s="37" t="s">
        <v>473</v>
      </c>
      <c r="D379" s="37" t="s">
        <v>15</v>
      </c>
      <c r="E379" s="37" t="s">
        <v>20</v>
      </c>
      <c r="F379" s="38">
        <v>46185</v>
      </c>
      <c r="G379" s="39">
        <v>46101</v>
      </c>
      <c r="H379" s="54">
        <v>142.27000000000001</v>
      </c>
      <c r="I379" s="41">
        <v>131.46</v>
      </c>
      <c r="J379" s="39">
        <v>46193</v>
      </c>
      <c r="K379" s="36" t="s">
        <v>1065</v>
      </c>
      <c r="L379" s="37" t="s">
        <v>17</v>
      </c>
    </row>
    <row r="380" spans="1:12">
      <c r="A380" t="s">
        <v>1066</v>
      </c>
      <c r="B380" t="s">
        <v>1067</v>
      </c>
      <c r="C380" s="37" t="s">
        <v>473</v>
      </c>
      <c r="D380" s="37" t="s">
        <v>15</v>
      </c>
      <c r="E380" s="37" t="s">
        <v>20</v>
      </c>
      <c r="F380" s="38">
        <v>46185</v>
      </c>
      <c r="G380" s="39">
        <v>46101</v>
      </c>
      <c r="H380" s="54">
        <v>165.83</v>
      </c>
      <c r="I380" s="41">
        <v>56.02</v>
      </c>
      <c r="J380" s="39">
        <v>46193</v>
      </c>
      <c r="K380" s="36" t="s">
        <v>1068</v>
      </c>
      <c r="L380" s="37" t="s">
        <v>17</v>
      </c>
    </row>
    <row r="381" spans="1:12">
      <c r="A381" s="43" t="s">
        <v>1069</v>
      </c>
      <c r="B381" s="57" t="s">
        <v>1070</v>
      </c>
      <c r="C381" s="37" t="s">
        <v>14</v>
      </c>
      <c r="D381" s="37" t="s">
        <v>15</v>
      </c>
      <c r="E381" s="37" t="s">
        <v>58</v>
      </c>
      <c r="F381" s="38">
        <v>46182</v>
      </c>
      <c r="G381" s="39">
        <v>46152</v>
      </c>
      <c r="H381" s="41">
        <v>87.14</v>
      </c>
      <c r="I381" s="41">
        <v>38.409999999999997</v>
      </c>
      <c r="J381" s="39">
        <v>46193</v>
      </c>
      <c r="K381" t="s">
        <v>1071</v>
      </c>
      <c r="L381" s="37" t="s">
        <v>17</v>
      </c>
    </row>
    <row r="382" spans="1:12">
      <c r="A382" t="s">
        <v>1072</v>
      </c>
      <c r="B382" t="s">
        <v>1073</v>
      </c>
      <c r="C382" s="37" t="s">
        <v>473</v>
      </c>
      <c r="D382" s="37" t="s">
        <v>15</v>
      </c>
      <c r="E382" s="37" t="s">
        <v>20</v>
      </c>
      <c r="F382" s="38">
        <v>46188</v>
      </c>
      <c r="G382" s="39">
        <v>46101</v>
      </c>
      <c r="H382" s="54">
        <v>57.96</v>
      </c>
      <c r="I382" s="41">
        <v>34.64</v>
      </c>
      <c r="J382" s="39">
        <v>46193</v>
      </c>
      <c r="K382" t="s">
        <v>1074</v>
      </c>
      <c r="L382" s="37" t="s">
        <v>17</v>
      </c>
    </row>
    <row r="383" spans="1:12">
      <c r="A383" t="s">
        <v>1075</v>
      </c>
      <c r="B383" t="s">
        <v>1076</v>
      </c>
      <c r="C383" s="37" t="s">
        <v>473</v>
      </c>
      <c r="D383" s="37" t="s">
        <v>15</v>
      </c>
      <c r="E383" s="37" t="s">
        <v>20</v>
      </c>
      <c r="F383" s="38">
        <v>46188</v>
      </c>
      <c r="G383" s="39">
        <v>46101</v>
      </c>
      <c r="H383" s="54">
        <v>79.98</v>
      </c>
      <c r="I383" s="41">
        <v>12.34</v>
      </c>
      <c r="J383" s="39">
        <v>46193</v>
      </c>
      <c r="K383" s="36" t="s">
        <v>1077</v>
      </c>
      <c r="L383" s="37" t="s">
        <v>17</v>
      </c>
    </row>
    <row r="384" spans="1:12">
      <c r="A384" t="s">
        <v>1078</v>
      </c>
      <c r="B384" t="s">
        <v>1079</v>
      </c>
      <c r="C384" s="37" t="s">
        <v>473</v>
      </c>
      <c r="D384" s="37" t="s">
        <v>15</v>
      </c>
      <c r="E384" s="37" t="s">
        <v>20</v>
      </c>
      <c r="F384" s="38">
        <v>46188</v>
      </c>
      <c r="G384" s="39">
        <v>46101</v>
      </c>
      <c r="H384" s="54">
        <v>49.99</v>
      </c>
      <c r="I384" s="41">
        <v>14.84</v>
      </c>
      <c r="J384" s="39">
        <v>46193</v>
      </c>
      <c r="K384" s="43" t="s">
        <v>1080</v>
      </c>
      <c r="L384" s="37" t="s">
        <v>17</v>
      </c>
    </row>
    <row r="385" spans="1:12">
      <c r="A385" t="s">
        <v>1081</v>
      </c>
      <c r="B385" t="s">
        <v>1082</v>
      </c>
      <c r="C385" s="37" t="s">
        <v>473</v>
      </c>
      <c r="D385" s="37" t="s">
        <v>15</v>
      </c>
      <c r="E385" s="37" t="s">
        <v>20</v>
      </c>
      <c r="F385" s="38">
        <v>46188</v>
      </c>
      <c r="G385" s="39">
        <v>46101</v>
      </c>
      <c r="H385" s="54">
        <v>60.98</v>
      </c>
      <c r="I385" s="41">
        <v>17.95</v>
      </c>
      <c r="J385" s="39">
        <v>46193</v>
      </c>
      <c r="K385" s="43" t="s">
        <v>1083</v>
      </c>
      <c r="L385" s="37" t="s">
        <v>17</v>
      </c>
    </row>
    <row r="386" spans="1:12">
      <c r="A386" t="s">
        <v>1084</v>
      </c>
      <c r="B386" t="s">
        <v>1085</v>
      </c>
      <c r="C386" s="37" t="s">
        <v>473</v>
      </c>
      <c r="D386" s="37" t="s">
        <v>15</v>
      </c>
      <c r="E386" s="37" t="s">
        <v>20</v>
      </c>
      <c r="F386" s="38">
        <v>46188</v>
      </c>
      <c r="G386" s="39">
        <v>46101</v>
      </c>
      <c r="H386" s="54">
        <v>84.98</v>
      </c>
      <c r="I386" s="41">
        <v>28.1</v>
      </c>
      <c r="J386" s="39">
        <v>46193</v>
      </c>
      <c r="K386" s="43" t="s">
        <v>1086</v>
      </c>
      <c r="L386" s="37" t="s">
        <v>17</v>
      </c>
    </row>
    <row r="387" spans="1:12">
      <c r="A387" t="s">
        <v>1087</v>
      </c>
      <c r="B387" t="s">
        <v>1088</v>
      </c>
      <c r="C387" s="37" t="s">
        <v>473</v>
      </c>
      <c r="D387" s="37" t="s">
        <v>15</v>
      </c>
      <c r="E387" s="37" t="s">
        <v>20</v>
      </c>
      <c r="F387" s="38">
        <v>46188</v>
      </c>
      <c r="G387" s="39">
        <v>46101</v>
      </c>
      <c r="H387" s="54">
        <v>50.27</v>
      </c>
      <c r="I387" s="41">
        <v>14.65</v>
      </c>
      <c r="J387" s="39">
        <v>46193</v>
      </c>
      <c r="K387" s="43" t="s">
        <v>1089</v>
      </c>
      <c r="L387" s="37" t="s">
        <v>17</v>
      </c>
    </row>
    <row r="388" spans="1:12">
      <c r="A388" t="s">
        <v>1090</v>
      </c>
      <c r="B388" t="s">
        <v>1091</v>
      </c>
      <c r="C388" s="37" t="s">
        <v>473</v>
      </c>
      <c r="D388" s="37" t="s">
        <v>15</v>
      </c>
      <c r="E388" s="37" t="s">
        <v>20</v>
      </c>
      <c r="F388" s="38">
        <v>46188</v>
      </c>
      <c r="G388" s="39">
        <v>46101</v>
      </c>
      <c r="H388" s="54">
        <v>52.2</v>
      </c>
      <c r="I388" s="41">
        <v>15.4</v>
      </c>
      <c r="J388" s="39">
        <v>46193</v>
      </c>
      <c r="K388" s="36" t="s">
        <v>1092</v>
      </c>
      <c r="L388" s="37" t="s">
        <v>17</v>
      </c>
    </row>
    <row r="389" spans="1:12">
      <c r="A389" t="s">
        <v>1093</v>
      </c>
      <c r="B389" t="s">
        <v>1094</v>
      </c>
      <c r="C389" s="37" t="s">
        <v>473</v>
      </c>
      <c r="D389" s="37" t="s">
        <v>15</v>
      </c>
      <c r="E389" s="37" t="s">
        <v>20</v>
      </c>
      <c r="F389" s="38">
        <v>46188</v>
      </c>
      <c r="G389" s="39">
        <v>46101</v>
      </c>
      <c r="H389" s="54">
        <v>65.95</v>
      </c>
      <c r="I389" s="41">
        <v>36.159999999999997</v>
      </c>
      <c r="J389" s="39">
        <v>46193</v>
      </c>
      <c r="K389" s="36" t="s">
        <v>1095</v>
      </c>
      <c r="L389" s="37" t="s">
        <v>17</v>
      </c>
    </row>
    <row r="390" spans="1:12">
      <c r="A390" t="s">
        <v>1096</v>
      </c>
      <c r="B390" t="s">
        <v>1097</v>
      </c>
      <c r="C390" s="37" t="s">
        <v>473</v>
      </c>
      <c r="D390" s="37" t="s">
        <v>15</v>
      </c>
      <c r="E390" s="37" t="s">
        <v>20</v>
      </c>
      <c r="F390" s="38">
        <v>46188</v>
      </c>
      <c r="G390" s="39">
        <v>46101</v>
      </c>
      <c r="H390" s="54">
        <v>81.75</v>
      </c>
      <c r="I390" s="41">
        <v>23.89</v>
      </c>
      <c r="J390" s="39">
        <v>46193</v>
      </c>
      <c r="K390" s="36" t="s">
        <v>1098</v>
      </c>
      <c r="L390" s="37" t="s">
        <v>17</v>
      </c>
    </row>
    <row r="391" spans="1:12">
      <c r="A391" t="s">
        <v>1099</v>
      </c>
      <c r="B391" t="s">
        <v>1100</v>
      </c>
      <c r="C391" s="37" t="s">
        <v>473</v>
      </c>
      <c r="D391" s="37" t="s">
        <v>15</v>
      </c>
      <c r="E391" s="37" t="s">
        <v>20</v>
      </c>
      <c r="F391" s="38">
        <v>46188</v>
      </c>
      <c r="G391" s="39">
        <v>46101</v>
      </c>
      <c r="H391" s="54">
        <v>41.45</v>
      </c>
      <c r="I391" s="41">
        <v>23.83</v>
      </c>
      <c r="J391" s="39">
        <v>46193</v>
      </c>
      <c r="K391" s="36" t="s">
        <v>1101</v>
      </c>
      <c r="L391" s="37" t="s">
        <v>17</v>
      </c>
    </row>
    <row r="392" spans="1:12">
      <c r="A392" t="s">
        <v>1102</v>
      </c>
      <c r="B392" t="s">
        <v>1103</v>
      </c>
      <c r="C392" s="37" t="s">
        <v>473</v>
      </c>
      <c r="D392" s="37" t="s">
        <v>15</v>
      </c>
      <c r="E392" s="37" t="s">
        <v>20</v>
      </c>
      <c r="F392" s="38">
        <v>46189</v>
      </c>
      <c r="G392" s="17">
        <v>46103</v>
      </c>
      <c r="H392" s="56">
        <v>94.74</v>
      </c>
      <c r="I392" s="41">
        <v>54.55</v>
      </c>
      <c r="J392" s="39">
        <v>46193</v>
      </c>
      <c r="K392" s="36" t="s">
        <v>1104</v>
      </c>
      <c r="L392" s="37" t="s">
        <v>17</v>
      </c>
    </row>
    <row r="393" spans="1:12">
      <c r="A393" t="s">
        <v>1105</v>
      </c>
      <c r="B393" t="s">
        <v>1106</v>
      </c>
      <c r="C393" s="37" t="s">
        <v>473</v>
      </c>
      <c r="D393" s="37" t="s">
        <v>15</v>
      </c>
      <c r="E393" s="37" t="s">
        <v>20</v>
      </c>
      <c r="F393" s="38">
        <v>46189</v>
      </c>
      <c r="G393" s="17">
        <v>46106</v>
      </c>
      <c r="H393" s="54">
        <v>449.97</v>
      </c>
      <c r="I393" s="41">
        <v>66.02</v>
      </c>
      <c r="J393" s="39">
        <v>46193</v>
      </c>
      <c r="K393" s="36" t="s">
        <v>1107</v>
      </c>
      <c r="L393" s="37" t="s">
        <v>17</v>
      </c>
    </row>
    <row r="394" spans="1:12">
      <c r="A394" t="s">
        <v>1108</v>
      </c>
      <c r="B394" t="s">
        <v>1109</v>
      </c>
      <c r="C394" s="37" t="s">
        <v>473</v>
      </c>
      <c r="D394" s="37" t="s">
        <v>15</v>
      </c>
      <c r="E394" s="37" t="s">
        <v>20</v>
      </c>
      <c r="F394" s="38">
        <v>46189</v>
      </c>
      <c r="G394" s="17">
        <v>46106</v>
      </c>
      <c r="H394" s="54">
        <v>289.97000000000003</v>
      </c>
      <c r="I394" s="41">
        <v>42.54</v>
      </c>
      <c r="J394" s="39">
        <v>46193</v>
      </c>
      <c r="K394" s="36" t="s">
        <v>1110</v>
      </c>
      <c r="L394" s="37" t="s">
        <v>17</v>
      </c>
    </row>
    <row r="395" spans="1:12">
      <c r="A395" t="s">
        <v>1111</v>
      </c>
      <c r="B395" t="s">
        <v>1112</v>
      </c>
      <c r="C395" s="37" t="s">
        <v>473</v>
      </c>
      <c r="D395" s="37" t="s">
        <v>15</v>
      </c>
      <c r="E395" s="37" t="s">
        <v>20</v>
      </c>
      <c r="F395" s="38">
        <v>46189</v>
      </c>
      <c r="G395" s="17">
        <v>46106</v>
      </c>
      <c r="H395" s="54">
        <v>299.97000000000003</v>
      </c>
      <c r="I395" s="41">
        <v>44.01</v>
      </c>
      <c r="J395" s="39">
        <v>46193</v>
      </c>
      <c r="K395" s="36" t="s">
        <v>1113</v>
      </c>
      <c r="L395" s="37" t="s">
        <v>17</v>
      </c>
    </row>
    <row r="396" spans="1:12">
      <c r="A396" t="s">
        <v>1114</v>
      </c>
      <c r="B396" t="s">
        <v>1115</v>
      </c>
      <c r="C396" s="37" t="s">
        <v>473</v>
      </c>
      <c r="D396" s="37" t="s">
        <v>15</v>
      </c>
      <c r="E396" s="37" t="s">
        <v>20</v>
      </c>
      <c r="F396" s="38">
        <v>46189</v>
      </c>
      <c r="G396" s="17">
        <v>46106</v>
      </c>
      <c r="H396" s="54">
        <v>259.97000000000003</v>
      </c>
      <c r="I396" s="41">
        <v>38.14</v>
      </c>
      <c r="J396" s="39">
        <v>46193</v>
      </c>
      <c r="K396" s="36" t="s">
        <v>1116</v>
      </c>
      <c r="L396" s="37" t="s">
        <v>17</v>
      </c>
    </row>
    <row r="397" spans="1:12">
      <c r="A397" t="s">
        <v>1117</v>
      </c>
      <c r="B397" t="s">
        <v>1118</v>
      </c>
      <c r="C397" s="37" t="s">
        <v>473</v>
      </c>
      <c r="D397" s="37" t="s">
        <v>15</v>
      </c>
      <c r="E397" s="37" t="s">
        <v>20</v>
      </c>
      <c r="F397" s="38">
        <v>46189</v>
      </c>
      <c r="G397" s="17">
        <v>46106</v>
      </c>
      <c r="H397" s="54">
        <v>239.97</v>
      </c>
      <c r="I397" s="41">
        <v>35.21</v>
      </c>
      <c r="J397" s="39">
        <v>46193</v>
      </c>
      <c r="K397" s="36" t="s">
        <v>1119</v>
      </c>
      <c r="L397" s="37" t="s">
        <v>17</v>
      </c>
    </row>
    <row r="398" spans="1:12">
      <c r="A398" t="s">
        <v>1120</v>
      </c>
      <c r="B398" t="s">
        <v>1121</v>
      </c>
      <c r="C398" s="37" t="s">
        <v>473</v>
      </c>
      <c r="D398" s="37" t="s">
        <v>15</v>
      </c>
      <c r="E398" s="37" t="s">
        <v>20</v>
      </c>
      <c r="F398" s="38">
        <v>46189</v>
      </c>
      <c r="G398" s="17">
        <v>46106</v>
      </c>
      <c r="H398" s="54">
        <v>279.97000000000003</v>
      </c>
      <c r="I398" s="41">
        <v>41.08</v>
      </c>
      <c r="J398" s="39">
        <v>46193</v>
      </c>
      <c r="K398" s="36" t="s">
        <v>1122</v>
      </c>
      <c r="L398" s="37" t="s">
        <v>17</v>
      </c>
    </row>
    <row r="399" spans="1:12">
      <c r="A399" t="s">
        <v>1123</v>
      </c>
      <c r="B399" t="s">
        <v>1124</v>
      </c>
      <c r="C399" s="37" t="s">
        <v>473</v>
      </c>
      <c r="D399" s="37" t="s">
        <v>15</v>
      </c>
      <c r="E399" s="37" t="s">
        <v>20</v>
      </c>
      <c r="F399" s="38">
        <v>46189</v>
      </c>
      <c r="G399" s="17">
        <v>46106</v>
      </c>
      <c r="H399" s="54">
        <v>389.96</v>
      </c>
      <c r="I399" s="41">
        <v>57.21</v>
      </c>
      <c r="J399" s="39">
        <v>46193</v>
      </c>
      <c r="K399" s="36" t="s">
        <v>1125</v>
      </c>
      <c r="L399" s="37" t="s">
        <v>17</v>
      </c>
    </row>
    <row r="400" spans="1:12">
      <c r="A400" t="s">
        <v>1126</v>
      </c>
      <c r="B400" t="s">
        <v>1127</v>
      </c>
      <c r="C400" s="37" t="s">
        <v>473</v>
      </c>
      <c r="D400" s="37" t="s">
        <v>15</v>
      </c>
      <c r="E400" s="37" t="s">
        <v>20</v>
      </c>
      <c r="F400" s="38">
        <v>46189</v>
      </c>
      <c r="G400" s="17">
        <v>46106</v>
      </c>
      <c r="H400" s="54">
        <v>239.97</v>
      </c>
      <c r="I400" s="41">
        <v>35.21</v>
      </c>
      <c r="J400" s="39">
        <v>46193</v>
      </c>
      <c r="K400" s="36" t="s">
        <v>1128</v>
      </c>
      <c r="L400" s="37" t="s">
        <v>17</v>
      </c>
    </row>
    <row r="401" spans="1:12">
      <c r="A401" t="s">
        <v>1129</v>
      </c>
      <c r="B401" t="s">
        <v>1130</v>
      </c>
      <c r="C401" s="37" t="s">
        <v>473</v>
      </c>
      <c r="D401" s="37" t="s">
        <v>15</v>
      </c>
      <c r="E401" s="37" t="s">
        <v>20</v>
      </c>
      <c r="F401" s="38">
        <v>46189</v>
      </c>
      <c r="G401" s="17">
        <v>46106</v>
      </c>
      <c r="H401" s="54">
        <v>239.97</v>
      </c>
      <c r="I401" s="41">
        <v>35.21</v>
      </c>
      <c r="J401" s="39">
        <v>46193</v>
      </c>
      <c r="K401" s="36" t="s">
        <v>1131</v>
      </c>
      <c r="L401" s="37" t="s">
        <v>17</v>
      </c>
    </row>
    <row r="402" spans="1:12">
      <c r="A402" t="s">
        <v>1132</v>
      </c>
      <c r="B402" t="s">
        <v>1133</v>
      </c>
      <c r="C402" s="37" t="s">
        <v>473</v>
      </c>
      <c r="D402" s="37" t="s">
        <v>15</v>
      </c>
      <c r="E402" s="37" t="s">
        <v>20</v>
      </c>
      <c r="F402" s="38">
        <v>46190</v>
      </c>
      <c r="G402" s="17">
        <v>46106</v>
      </c>
      <c r="H402" s="54">
        <v>54.3</v>
      </c>
      <c r="I402" s="41">
        <v>15.38</v>
      </c>
      <c r="J402" s="39">
        <v>46195</v>
      </c>
      <c r="K402" s="36" t="s">
        <v>1134</v>
      </c>
      <c r="L402" s="37" t="s">
        <v>17</v>
      </c>
    </row>
    <row r="403" spans="1:12">
      <c r="A403" t="s">
        <v>1135</v>
      </c>
      <c r="B403" t="s">
        <v>1136</v>
      </c>
      <c r="C403" s="37" t="s">
        <v>473</v>
      </c>
      <c r="D403" s="37" t="s">
        <v>15</v>
      </c>
      <c r="E403" s="37" t="s">
        <v>20</v>
      </c>
      <c r="F403" s="38">
        <v>46190</v>
      </c>
      <c r="G403" s="17">
        <v>46106</v>
      </c>
      <c r="H403" s="54">
        <v>59.48</v>
      </c>
      <c r="I403" s="41">
        <v>12.59</v>
      </c>
      <c r="J403" s="39">
        <v>46195</v>
      </c>
      <c r="K403" s="36" t="s">
        <v>1137</v>
      </c>
      <c r="L403" s="37" t="s">
        <v>17</v>
      </c>
    </row>
    <row r="404" spans="1:12">
      <c r="A404" t="s">
        <v>1138</v>
      </c>
      <c r="B404" t="s">
        <v>1139</v>
      </c>
      <c r="C404" s="37" t="s">
        <v>473</v>
      </c>
      <c r="D404" s="37" t="s">
        <v>15</v>
      </c>
      <c r="E404" s="37" t="s">
        <v>20</v>
      </c>
      <c r="F404" s="38">
        <v>46190</v>
      </c>
      <c r="G404" s="17">
        <v>46106</v>
      </c>
      <c r="H404" s="54">
        <v>128.33000000000001</v>
      </c>
      <c r="I404" s="41">
        <v>27.15</v>
      </c>
      <c r="J404" s="39">
        <v>46195</v>
      </c>
      <c r="K404" s="36" t="s">
        <v>1140</v>
      </c>
      <c r="L404" s="37" t="s">
        <v>17</v>
      </c>
    </row>
    <row r="405" spans="1:12">
      <c r="A405" t="s">
        <v>1141</v>
      </c>
      <c r="B405" t="s">
        <v>1142</v>
      </c>
      <c r="C405" s="37" t="s">
        <v>473</v>
      </c>
      <c r="D405" s="37" t="s">
        <v>15</v>
      </c>
      <c r="E405" s="37" t="s">
        <v>20</v>
      </c>
      <c r="F405" s="38">
        <v>46190</v>
      </c>
      <c r="G405" s="17">
        <v>46106</v>
      </c>
      <c r="H405" s="54">
        <v>122.34</v>
      </c>
      <c r="I405" s="41">
        <v>36.06</v>
      </c>
      <c r="J405" s="39">
        <v>46195</v>
      </c>
      <c r="K405" s="36" t="s">
        <v>1143</v>
      </c>
      <c r="L405" s="37" t="s">
        <v>17</v>
      </c>
    </row>
    <row r="406" spans="1:12">
      <c r="A406" t="s">
        <v>1144</v>
      </c>
      <c r="B406" t="s">
        <v>1145</v>
      </c>
      <c r="C406" s="37" t="s">
        <v>473</v>
      </c>
      <c r="D406" s="37" t="s">
        <v>15</v>
      </c>
      <c r="E406" s="37" t="s">
        <v>20</v>
      </c>
      <c r="F406" s="38">
        <v>46190</v>
      </c>
      <c r="G406" s="17">
        <v>46106</v>
      </c>
      <c r="H406" s="54">
        <v>54.87</v>
      </c>
      <c r="I406" s="41">
        <v>15.98</v>
      </c>
      <c r="J406" s="39">
        <v>46195</v>
      </c>
      <c r="K406" s="36" t="s">
        <v>1146</v>
      </c>
      <c r="L406" s="37" t="s">
        <v>17</v>
      </c>
    </row>
    <row r="407" spans="1:12">
      <c r="A407" t="s">
        <v>1147</v>
      </c>
      <c r="B407" t="s">
        <v>1148</v>
      </c>
      <c r="C407" s="37" t="s">
        <v>473</v>
      </c>
      <c r="D407" s="37" t="s">
        <v>15</v>
      </c>
      <c r="E407" s="37" t="s">
        <v>20</v>
      </c>
      <c r="F407" s="38">
        <v>46190</v>
      </c>
      <c r="G407" s="17">
        <v>46106</v>
      </c>
      <c r="H407" s="54">
        <v>276.14</v>
      </c>
      <c r="I407" s="41">
        <v>78.84</v>
      </c>
      <c r="J407" s="39">
        <v>46195</v>
      </c>
      <c r="K407" s="36" t="s">
        <v>1149</v>
      </c>
      <c r="L407" s="37" t="s">
        <v>17</v>
      </c>
    </row>
    <row r="408" spans="1:12">
      <c r="A408" t="s">
        <v>1150</v>
      </c>
      <c r="B408" t="s">
        <v>1151</v>
      </c>
      <c r="C408" s="37" t="s">
        <v>473</v>
      </c>
      <c r="D408" s="37" t="s">
        <v>15</v>
      </c>
      <c r="E408" s="37" t="s">
        <v>20</v>
      </c>
      <c r="F408" s="38">
        <v>46190</v>
      </c>
      <c r="G408" s="17">
        <v>46106</v>
      </c>
      <c r="H408" s="54">
        <v>159.34</v>
      </c>
      <c r="I408" s="41">
        <v>33.130000000000003</v>
      </c>
      <c r="J408" s="39">
        <v>46195</v>
      </c>
      <c r="K408" s="36" t="s">
        <v>1152</v>
      </c>
      <c r="L408" s="37" t="s">
        <v>17</v>
      </c>
    </row>
    <row r="409" spans="1:12">
      <c r="A409" t="s">
        <v>1153</v>
      </c>
      <c r="B409" t="s">
        <v>1154</v>
      </c>
      <c r="C409" s="37" t="s">
        <v>473</v>
      </c>
      <c r="D409" s="37" t="s">
        <v>15</v>
      </c>
      <c r="E409" s="37" t="s">
        <v>20</v>
      </c>
      <c r="F409" s="38">
        <v>46190</v>
      </c>
      <c r="G409" s="17">
        <v>46106</v>
      </c>
      <c r="H409" s="54">
        <v>167.94</v>
      </c>
      <c r="I409" s="41">
        <v>48.79</v>
      </c>
      <c r="J409" s="39">
        <v>46195</v>
      </c>
      <c r="K409" s="36" t="s">
        <v>1155</v>
      </c>
      <c r="L409" s="37" t="s">
        <v>17</v>
      </c>
    </row>
    <row r="410" spans="1:12">
      <c r="A410" t="s">
        <v>1156</v>
      </c>
      <c r="B410" t="s">
        <v>1157</v>
      </c>
      <c r="C410" s="37" t="s">
        <v>473</v>
      </c>
      <c r="D410" s="37" t="s">
        <v>15</v>
      </c>
      <c r="E410" s="37" t="s">
        <v>20</v>
      </c>
      <c r="F410" s="38">
        <v>46190</v>
      </c>
      <c r="G410" s="17">
        <v>46106</v>
      </c>
      <c r="H410" s="54">
        <v>122.77</v>
      </c>
      <c r="I410" s="41">
        <v>35.869999999999997</v>
      </c>
      <c r="J410" s="39">
        <v>46195</v>
      </c>
      <c r="K410" s="36" t="s">
        <v>1158</v>
      </c>
      <c r="L410" s="37" t="s">
        <v>17</v>
      </c>
    </row>
    <row r="411" spans="1:12">
      <c r="A411" t="s">
        <v>1159</v>
      </c>
      <c r="B411" t="s">
        <v>1160</v>
      </c>
      <c r="C411" s="37" t="s">
        <v>473</v>
      </c>
      <c r="D411" s="37" t="s">
        <v>15</v>
      </c>
      <c r="E411" s="37" t="s">
        <v>20</v>
      </c>
      <c r="F411" s="38">
        <v>46190</v>
      </c>
      <c r="G411" s="17">
        <v>46106</v>
      </c>
      <c r="H411" s="54">
        <v>62.24</v>
      </c>
      <c r="I411" s="41">
        <v>17.850000000000001</v>
      </c>
      <c r="J411" s="39">
        <v>46195</v>
      </c>
      <c r="K411" s="36" t="s">
        <v>1161</v>
      </c>
      <c r="L411" s="37" t="s">
        <v>17</v>
      </c>
    </row>
    <row r="412" spans="1:12">
      <c r="A412" s="43" t="s">
        <v>1162</v>
      </c>
      <c r="B412" t="s">
        <v>1163</v>
      </c>
      <c r="C412" s="37" t="s">
        <v>473</v>
      </c>
      <c r="D412" s="37" t="s">
        <v>15</v>
      </c>
      <c r="E412" s="37" t="s">
        <v>20</v>
      </c>
      <c r="F412" s="38">
        <v>46191</v>
      </c>
      <c r="G412" s="17">
        <v>46106</v>
      </c>
      <c r="H412" s="41">
        <v>50.53</v>
      </c>
      <c r="I412" s="41">
        <v>14.83</v>
      </c>
      <c r="J412" s="39">
        <v>46195</v>
      </c>
      <c r="K412" s="36" t="s">
        <v>1164</v>
      </c>
      <c r="L412" s="37" t="s">
        <v>17</v>
      </c>
    </row>
    <row r="413" spans="1:12">
      <c r="A413" s="43" t="s">
        <v>1165</v>
      </c>
      <c r="B413" t="s">
        <v>1166</v>
      </c>
      <c r="C413" s="37" t="s">
        <v>473</v>
      </c>
      <c r="D413" s="37" t="s">
        <v>15</v>
      </c>
      <c r="E413" s="37" t="s">
        <v>20</v>
      </c>
      <c r="F413" s="38">
        <v>46191</v>
      </c>
      <c r="G413" s="17">
        <v>46106</v>
      </c>
      <c r="H413" s="54">
        <v>40.770000000000003</v>
      </c>
      <c r="I413" s="41">
        <v>11.97</v>
      </c>
      <c r="J413" s="39">
        <v>46195</v>
      </c>
      <c r="K413" s="36" t="s">
        <v>1167</v>
      </c>
      <c r="L413" s="37" t="s">
        <v>17</v>
      </c>
    </row>
    <row r="414" spans="1:12">
      <c r="A414" s="43" t="s">
        <v>1168</v>
      </c>
      <c r="B414" t="s">
        <v>1169</v>
      </c>
      <c r="C414" s="37" t="s">
        <v>473</v>
      </c>
      <c r="D414" s="37" t="s">
        <v>15</v>
      </c>
      <c r="E414" s="37" t="s">
        <v>20</v>
      </c>
      <c r="F414" s="38">
        <v>46191</v>
      </c>
      <c r="G414" s="17">
        <v>46106</v>
      </c>
      <c r="H414" s="54">
        <v>39.99</v>
      </c>
      <c r="I414" s="41">
        <v>11.85</v>
      </c>
      <c r="J414" s="39">
        <v>46195</v>
      </c>
      <c r="K414" s="36" t="s">
        <v>1170</v>
      </c>
      <c r="L414" s="37" t="s">
        <v>17</v>
      </c>
    </row>
    <row r="415" spans="1:12">
      <c r="A415" s="43" t="s">
        <v>1171</v>
      </c>
      <c r="B415" t="s">
        <v>1172</v>
      </c>
      <c r="C415" s="37" t="s">
        <v>473</v>
      </c>
      <c r="D415" s="37" t="s">
        <v>15</v>
      </c>
      <c r="E415" s="37" t="s">
        <v>20</v>
      </c>
      <c r="F415" s="38">
        <v>46191</v>
      </c>
      <c r="G415" s="17">
        <v>46106</v>
      </c>
      <c r="H415" s="54">
        <v>39.99</v>
      </c>
      <c r="I415" s="41">
        <v>11.68</v>
      </c>
      <c r="J415" s="39">
        <v>46195</v>
      </c>
      <c r="K415" s="36" t="s">
        <v>1173</v>
      </c>
      <c r="L415" s="37" t="s">
        <v>17</v>
      </c>
    </row>
    <row r="416" spans="1:12">
      <c r="A416" s="43" t="s">
        <v>1174</v>
      </c>
      <c r="B416" t="s">
        <v>1175</v>
      </c>
      <c r="C416" s="37" t="s">
        <v>473</v>
      </c>
      <c r="D416" s="37" t="s">
        <v>15</v>
      </c>
      <c r="E416" s="37" t="s">
        <v>20</v>
      </c>
      <c r="F416" s="38">
        <v>46191</v>
      </c>
      <c r="G416" s="17">
        <v>46106</v>
      </c>
      <c r="H416" s="54">
        <v>49.99</v>
      </c>
      <c r="I416" s="41">
        <v>14.81</v>
      </c>
      <c r="J416" s="39">
        <v>46195</v>
      </c>
      <c r="K416" s="36" t="s">
        <v>1176</v>
      </c>
      <c r="L416" s="37" t="s">
        <v>17</v>
      </c>
    </row>
    <row r="417" spans="1:12">
      <c r="A417" s="43" t="s">
        <v>1177</v>
      </c>
      <c r="B417" t="s">
        <v>1178</v>
      </c>
      <c r="C417" s="37" t="s">
        <v>473</v>
      </c>
      <c r="D417" s="37" t="s">
        <v>15</v>
      </c>
      <c r="E417" s="37" t="s">
        <v>20</v>
      </c>
      <c r="F417" s="38">
        <v>46191</v>
      </c>
      <c r="G417" s="17">
        <v>46106</v>
      </c>
      <c r="H417" s="54">
        <v>40.67</v>
      </c>
      <c r="I417" s="41">
        <v>12</v>
      </c>
      <c r="J417" s="39">
        <v>46195</v>
      </c>
      <c r="K417" s="36" t="s">
        <v>1179</v>
      </c>
      <c r="L417" s="37" t="s">
        <v>17</v>
      </c>
    </row>
    <row r="418" spans="1:12">
      <c r="A418" s="43" t="s">
        <v>1180</v>
      </c>
      <c r="B418" t="s">
        <v>1181</v>
      </c>
      <c r="C418" s="37" t="s">
        <v>473</v>
      </c>
      <c r="D418" s="37" t="s">
        <v>15</v>
      </c>
      <c r="E418" s="37" t="s">
        <v>20</v>
      </c>
      <c r="F418" s="38">
        <v>46191</v>
      </c>
      <c r="G418" s="17">
        <v>46106</v>
      </c>
      <c r="H418" s="54">
        <v>40.770000000000003</v>
      </c>
      <c r="I418" s="41">
        <v>12.01</v>
      </c>
      <c r="J418" s="39">
        <v>46195</v>
      </c>
      <c r="K418" s="36" t="s">
        <v>1182</v>
      </c>
      <c r="L418" s="37" t="s">
        <v>17</v>
      </c>
    </row>
    <row r="419" spans="1:12">
      <c r="A419" s="43" t="s">
        <v>1183</v>
      </c>
      <c r="B419" t="s">
        <v>1184</v>
      </c>
      <c r="C419" s="37" t="s">
        <v>473</v>
      </c>
      <c r="D419" s="37" t="s">
        <v>15</v>
      </c>
      <c r="E419" s="37" t="s">
        <v>20</v>
      </c>
      <c r="F419" s="38">
        <v>46191</v>
      </c>
      <c r="G419" s="17">
        <v>46106</v>
      </c>
      <c r="H419" s="54">
        <v>40.74</v>
      </c>
      <c r="I419" s="41">
        <v>12.01</v>
      </c>
      <c r="J419" s="39">
        <v>46195</v>
      </c>
      <c r="K419" s="36" t="s">
        <v>1185</v>
      </c>
      <c r="L419" s="37" t="s">
        <v>17</v>
      </c>
    </row>
    <row r="420" spans="1:12">
      <c r="A420" t="s">
        <v>1186</v>
      </c>
      <c r="B420" t="s">
        <v>1187</v>
      </c>
      <c r="C420" s="37" t="s">
        <v>473</v>
      </c>
      <c r="D420" s="37" t="s">
        <v>15</v>
      </c>
      <c r="E420" s="37" t="s">
        <v>16</v>
      </c>
      <c r="F420" s="38">
        <v>46191</v>
      </c>
      <c r="G420" s="17">
        <v>46106</v>
      </c>
      <c r="H420" s="41">
        <v>46.25</v>
      </c>
      <c r="I420" s="41"/>
      <c r="L420" s="37" t="s">
        <v>17</v>
      </c>
    </row>
    <row r="421" spans="1:12">
      <c r="A421" t="s">
        <v>1188</v>
      </c>
      <c r="B421" t="s">
        <v>1189</v>
      </c>
      <c r="C421" s="37" t="s">
        <v>473</v>
      </c>
      <c r="D421" s="37" t="s">
        <v>15</v>
      </c>
      <c r="E421" s="37" t="s">
        <v>16</v>
      </c>
      <c r="F421" s="38">
        <v>46191</v>
      </c>
      <c r="G421" s="39">
        <v>46101</v>
      </c>
      <c r="H421" s="41">
        <v>42.82</v>
      </c>
      <c r="I421" s="41"/>
      <c r="L421" s="37" t="s">
        <v>17</v>
      </c>
    </row>
    <row r="422" spans="1:12">
      <c r="A422" t="s">
        <v>1190</v>
      </c>
      <c r="B422" t="s">
        <v>1191</v>
      </c>
      <c r="C422" s="37" t="s">
        <v>473</v>
      </c>
      <c r="D422" s="37" t="s">
        <v>15</v>
      </c>
      <c r="E422" s="37" t="s">
        <v>16</v>
      </c>
      <c r="F422" s="38">
        <v>46191</v>
      </c>
      <c r="G422" s="17">
        <v>46106</v>
      </c>
      <c r="H422" s="41">
        <v>0.41</v>
      </c>
      <c r="I422" s="41"/>
      <c r="L422" s="37" t="s">
        <v>17</v>
      </c>
    </row>
    <row r="423" spans="1:12">
      <c r="A423" t="s">
        <v>1192</v>
      </c>
      <c r="B423" t="s">
        <v>1193</v>
      </c>
      <c r="C423" s="37" t="s">
        <v>473</v>
      </c>
      <c r="D423" s="37" t="s">
        <v>15</v>
      </c>
      <c r="E423" s="37" t="s">
        <v>16</v>
      </c>
      <c r="F423" s="38">
        <v>46191</v>
      </c>
      <c r="G423" s="17">
        <v>46106</v>
      </c>
      <c r="H423" s="41">
        <v>0.56999999999999995</v>
      </c>
      <c r="I423" s="41"/>
      <c r="L423" s="37" t="s">
        <v>17</v>
      </c>
    </row>
    <row r="424" spans="1:12">
      <c r="A424" t="s">
        <v>1194</v>
      </c>
      <c r="B424" t="s">
        <v>1195</v>
      </c>
      <c r="C424" s="37" t="s">
        <v>473</v>
      </c>
      <c r="D424" s="37" t="s">
        <v>15</v>
      </c>
      <c r="E424" s="37" t="s">
        <v>16</v>
      </c>
      <c r="F424" s="38">
        <v>46191</v>
      </c>
      <c r="G424" s="39">
        <v>46101</v>
      </c>
      <c r="H424" s="41">
        <v>0.13</v>
      </c>
      <c r="I424" s="41"/>
      <c r="L424" s="37" t="s">
        <v>17</v>
      </c>
    </row>
    <row r="425" spans="1:12">
      <c r="A425" t="s">
        <v>1196</v>
      </c>
      <c r="B425" t="s">
        <v>1197</v>
      </c>
      <c r="C425" s="37" t="s">
        <v>473</v>
      </c>
      <c r="D425" s="37" t="s">
        <v>15</v>
      </c>
      <c r="E425" s="37" t="s">
        <v>16</v>
      </c>
      <c r="F425" s="38">
        <v>46191</v>
      </c>
      <c r="G425" s="17">
        <v>46106</v>
      </c>
      <c r="H425" s="41">
        <v>1.22</v>
      </c>
      <c r="I425" s="41"/>
      <c r="L425" s="37" t="s">
        <v>17</v>
      </c>
    </row>
    <row r="426" spans="1:12">
      <c r="A426" t="s">
        <v>1198</v>
      </c>
      <c r="B426" t="s">
        <v>1199</v>
      </c>
      <c r="C426" s="37" t="s">
        <v>473</v>
      </c>
      <c r="D426" s="37" t="s">
        <v>15</v>
      </c>
      <c r="E426" s="37" t="s">
        <v>16</v>
      </c>
      <c r="F426" s="38">
        <v>46191</v>
      </c>
      <c r="G426" s="17">
        <v>46106</v>
      </c>
      <c r="H426" s="41">
        <v>1.35</v>
      </c>
      <c r="I426" s="41"/>
      <c r="L426" s="37" t="s">
        <v>17</v>
      </c>
    </row>
    <row r="427" spans="1:12">
      <c r="A427" t="s">
        <v>1200</v>
      </c>
      <c r="B427" t="s">
        <v>1201</v>
      </c>
      <c r="C427" s="37" t="s">
        <v>473</v>
      </c>
      <c r="D427" s="37" t="s">
        <v>15</v>
      </c>
      <c r="E427" s="37" t="s">
        <v>16</v>
      </c>
      <c r="F427" s="38">
        <v>46191</v>
      </c>
      <c r="G427" s="39">
        <v>46101</v>
      </c>
      <c r="H427" s="41">
        <v>39.99</v>
      </c>
      <c r="I427" s="41"/>
      <c r="L427" s="37" t="s">
        <v>17</v>
      </c>
    </row>
    <row r="428" spans="1:12">
      <c r="A428" t="s">
        <v>1202</v>
      </c>
      <c r="B428" t="s">
        <v>1203</v>
      </c>
      <c r="C428" s="37" t="s">
        <v>473</v>
      </c>
      <c r="D428" s="37" t="s">
        <v>15</v>
      </c>
      <c r="E428" s="37" t="s">
        <v>16</v>
      </c>
      <c r="F428" s="38">
        <v>46191</v>
      </c>
      <c r="G428" s="39">
        <v>46101</v>
      </c>
      <c r="H428" s="41">
        <v>41.21</v>
      </c>
      <c r="I428" s="41"/>
      <c r="L428" s="37" t="s">
        <v>17</v>
      </c>
    </row>
    <row r="429" spans="1:12">
      <c r="A429" t="s">
        <v>1204</v>
      </c>
      <c r="B429" t="s">
        <v>1205</v>
      </c>
      <c r="C429" s="37" t="s">
        <v>473</v>
      </c>
      <c r="D429" s="37" t="s">
        <v>15</v>
      </c>
      <c r="E429" s="37" t="s">
        <v>16</v>
      </c>
      <c r="F429" s="38">
        <v>46191</v>
      </c>
      <c r="G429" s="39">
        <v>46101</v>
      </c>
      <c r="H429" s="41">
        <v>41.36</v>
      </c>
      <c r="I429" s="41"/>
      <c r="L429" s="37" t="s">
        <v>17</v>
      </c>
    </row>
    <row r="430" spans="1:12">
      <c r="A430" t="s">
        <v>1206</v>
      </c>
      <c r="B430" t="s">
        <v>1207</v>
      </c>
      <c r="C430" s="37" t="s">
        <v>473</v>
      </c>
      <c r="D430" s="37" t="s">
        <v>15</v>
      </c>
      <c r="E430" s="37" t="s">
        <v>16</v>
      </c>
      <c r="F430" s="38">
        <v>46191</v>
      </c>
      <c r="G430" s="17">
        <v>46106</v>
      </c>
      <c r="H430" s="41">
        <v>2.33</v>
      </c>
      <c r="I430" s="41"/>
      <c r="L430" s="37" t="s">
        <v>17</v>
      </c>
    </row>
    <row r="431" spans="1:12">
      <c r="A431" t="s">
        <v>1208</v>
      </c>
      <c r="B431" t="s">
        <v>1209</v>
      </c>
      <c r="C431" s="37" t="s">
        <v>473</v>
      </c>
      <c r="D431" s="37" t="s">
        <v>15</v>
      </c>
      <c r="E431" s="37" t="s">
        <v>16</v>
      </c>
      <c r="F431" s="38">
        <v>46191</v>
      </c>
      <c r="G431" s="39">
        <v>46101</v>
      </c>
      <c r="H431" s="41">
        <v>1.79</v>
      </c>
      <c r="I431" s="41"/>
      <c r="L431" s="37" t="s">
        <v>17</v>
      </c>
    </row>
    <row r="432" spans="1:12">
      <c r="A432" t="s">
        <v>1210</v>
      </c>
      <c r="B432" t="s">
        <v>1211</v>
      </c>
      <c r="C432" s="37" t="s">
        <v>473</v>
      </c>
      <c r="D432" s="37" t="s">
        <v>15</v>
      </c>
      <c r="E432" s="37" t="s">
        <v>16</v>
      </c>
      <c r="F432" s="38">
        <v>46191</v>
      </c>
      <c r="G432" s="39">
        <v>46101</v>
      </c>
      <c r="H432" s="41">
        <v>31.27</v>
      </c>
      <c r="I432" s="41"/>
      <c r="L432" s="37" t="s">
        <v>17</v>
      </c>
    </row>
    <row r="433" spans="1:12">
      <c r="A433" t="s">
        <v>1212</v>
      </c>
      <c r="B433" t="s">
        <v>1213</v>
      </c>
      <c r="C433" s="37" t="s">
        <v>473</v>
      </c>
      <c r="D433" s="37" t="s">
        <v>15</v>
      </c>
      <c r="E433" s="37" t="s">
        <v>20</v>
      </c>
      <c r="F433" s="38">
        <v>46192</v>
      </c>
      <c r="G433" s="39">
        <v>46119</v>
      </c>
      <c r="H433" s="54">
        <v>389.94</v>
      </c>
      <c r="I433" s="41">
        <v>40.65</v>
      </c>
      <c r="J433" s="38">
        <v>46195</v>
      </c>
      <c r="K433" s="36" t="s">
        <v>1214</v>
      </c>
      <c r="L433" s="37" t="s">
        <v>17</v>
      </c>
    </row>
    <row r="434" spans="1:12">
      <c r="A434" t="s">
        <v>1215</v>
      </c>
      <c r="B434" t="s">
        <v>1216</v>
      </c>
      <c r="C434" s="37" t="s">
        <v>473</v>
      </c>
      <c r="D434" s="37" t="s">
        <v>15</v>
      </c>
      <c r="E434" s="37" t="s">
        <v>20</v>
      </c>
      <c r="F434" s="38">
        <v>46192</v>
      </c>
      <c r="G434" s="39">
        <v>46119</v>
      </c>
      <c r="H434" s="54">
        <v>101.26</v>
      </c>
      <c r="I434" s="41">
        <v>15.34</v>
      </c>
      <c r="J434" s="38">
        <v>46195</v>
      </c>
      <c r="K434" s="36" t="s">
        <v>1217</v>
      </c>
      <c r="L434" s="37" t="s">
        <v>17</v>
      </c>
    </row>
    <row r="435" spans="1:12">
      <c r="A435" t="s">
        <v>1218</v>
      </c>
      <c r="B435" t="s">
        <v>1219</v>
      </c>
      <c r="C435" s="37" t="s">
        <v>473</v>
      </c>
      <c r="D435" s="37" t="s">
        <v>783</v>
      </c>
      <c r="E435" s="37" t="s">
        <v>20</v>
      </c>
      <c r="F435" s="38">
        <v>46205</v>
      </c>
      <c r="G435" s="39">
        <v>46119</v>
      </c>
      <c r="H435" s="54">
        <v>141.18</v>
      </c>
      <c r="I435" s="41"/>
      <c r="J435" s="38">
        <v>46195</v>
      </c>
      <c r="L435" s="37" t="s">
        <v>784</v>
      </c>
    </row>
    <row r="436" spans="1:12">
      <c r="A436" t="s">
        <v>1220</v>
      </c>
      <c r="B436" t="s">
        <v>1221</v>
      </c>
      <c r="C436" s="37" t="s">
        <v>473</v>
      </c>
      <c r="D436" s="37" t="s">
        <v>15</v>
      </c>
      <c r="E436" s="37" t="s">
        <v>20</v>
      </c>
      <c r="F436" s="38">
        <v>46192</v>
      </c>
      <c r="G436" s="39">
        <v>46119</v>
      </c>
      <c r="H436" s="54">
        <v>93.98</v>
      </c>
      <c r="I436" s="41">
        <v>27.35</v>
      </c>
      <c r="J436" s="38">
        <v>46195</v>
      </c>
      <c r="K436" s="36" t="s">
        <v>1222</v>
      </c>
      <c r="L436" s="37" t="s">
        <v>17</v>
      </c>
    </row>
    <row r="437" spans="1:12">
      <c r="A437" t="s">
        <v>1223</v>
      </c>
      <c r="B437" t="s">
        <v>1224</v>
      </c>
      <c r="C437" s="37" t="s">
        <v>473</v>
      </c>
      <c r="D437" s="37" t="s">
        <v>15</v>
      </c>
      <c r="E437" s="37" t="s">
        <v>20</v>
      </c>
      <c r="F437" s="38">
        <v>46192</v>
      </c>
      <c r="G437" s="39">
        <v>46119</v>
      </c>
      <c r="H437" s="54">
        <v>347.98</v>
      </c>
      <c r="I437" s="41">
        <v>130.66999999999999</v>
      </c>
      <c r="J437" s="38">
        <v>46195</v>
      </c>
      <c r="K437" s="36" t="s">
        <v>1225</v>
      </c>
      <c r="L437" s="37" t="s">
        <v>17</v>
      </c>
    </row>
    <row r="438" spans="1:12">
      <c r="A438" t="s">
        <v>1226</v>
      </c>
      <c r="B438" t="s">
        <v>1227</v>
      </c>
      <c r="C438" s="37" t="s">
        <v>473</v>
      </c>
      <c r="D438" s="37" t="s">
        <v>15</v>
      </c>
      <c r="E438" s="37" t="s">
        <v>20</v>
      </c>
      <c r="F438" s="38">
        <v>46192</v>
      </c>
      <c r="G438" s="39">
        <v>46119</v>
      </c>
      <c r="H438" s="54">
        <v>245.02</v>
      </c>
      <c r="I438" s="41">
        <v>70.569999999999993</v>
      </c>
      <c r="J438" s="38">
        <v>46195</v>
      </c>
      <c r="K438" s="36" t="s">
        <v>1228</v>
      </c>
      <c r="L438" s="37" t="s">
        <v>17</v>
      </c>
    </row>
    <row r="439" spans="1:12">
      <c r="A439" t="s">
        <v>1229</v>
      </c>
      <c r="B439" t="s">
        <v>1230</v>
      </c>
      <c r="C439" s="37" t="s">
        <v>473</v>
      </c>
      <c r="D439" s="37" t="s">
        <v>15</v>
      </c>
      <c r="E439" s="37" t="s">
        <v>20</v>
      </c>
      <c r="F439" s="38">
        <v>46192</v>
      </c>
      <c r="G439" s="39">
        <v>46119</v>
      </c>
      <c r="H439" s="54">
        <v>61.58</v>
      </c>
      <c r="I439" s="41">
        <v>17.690000000000001</v>
      </c>
      <c r="J439" s="38">
        <v>46195</v>
      </c>
      <c r="K439" s="36" t="s">
        <v>1231</v>
      </c>
      <c r="L439" s="37" t="s">
        <v>17</v>
      </c>
    </row>
    <row r="440" spans="1:12">
      <c r="A440" t="s">
        <v>1232</v>
      </c>
      <c r="B440" t="s">
        <v>1233</v>
      </c>
      <c r="C440" s="37" t="s">
        <v>473</v>
      </c>
      <c r="D440" s="37" t="s">
        <v>15</v>
      </c>
      <c r="E440" s="37" t="s">
        <v>20</v>
      </c>
      <c r="F440" s="38">
        <v>46192</v>
      </c>
      <c r="G440" s="39">
        <v>46119</v>
      </c>
      <c r="H440" s="54">
        <v>777.18</v>
      </c>
      <c r="I440" s="41">
        <v>113.63</v>
      </c>
      <c r="J440" s="38">
        <v>46195</v>
      </c>
      <c r="K440" s="36" t="s">
        <v>1234</v>
      </c>
      <c r="L440" s="37" t="s">
        <v>17</v>
      </c>
    </row>
    <row r="441" spans="1:12">
      <c r="A441" t="s">
        <v>1235</v>
      </c>
      <c r="B441" t="s">
        <v>1236</v>
      </c>
      <c r="C441" s="37" t="s">
        <v>473</v>
      </c>
      <c r="D441" s="37" t="s">
        <v>15</v>
      </c>
      <c r="E441" s="37" t="s">
        <v>20</v>
      </c>
      <c r="F441" s="38">
        <v>46192</v>
      </c>
      <c r="G441" s="39">
        <v>46119</v>
      </c>
      <c r="H441" s="54">
        <v>2643.44</v>
      </c>
      <c r="I441" s="41">
        <v>554.51</v>
      </c>
      <c r="J441" s="38">
        <v>46195</v>
      </c>
      <c r="K441" s="36" t="s">
        <v>1237</v>
      </c>
      <c r="L441" s="37" t="s">
        <v>17</v>
      </c>
    </row>
    <row r="442" spans="1:12">
      <c r="A442" t="s">
        <v>1238</v>
      </c>
      <c r="B442" t="s">
        <v>1239</v>
      </c>
      <c r="C442" s="37" t="s">
        <v>473</v>
      </c>
      <c r="D442" s="37" t="s">
        <v>15</v>
      </c>
      <c r="E442" s="37" t="s">
        <v>20</v>
      </c>
      <c r="F442" s="38">
        <v>46192</v>
      </c>
      <c r="G442" s="39">
        <v>46119</v>
      </c>
      <c r="H442" s="54">
        <v>89.97</v>
      </c>
      <c r="I442" s="41">
        <v>19.329999999999998</v>
      </c>
      <c r="J442" s="38">
        <v>46195</v>
      </c>
      <c r="K442" s="36" t="s">
        <v>1240</v>
      </c>
      <c r="L442" s="37" t="s">
        <v>17</v>
      </c>
    </row>
    <row r="443" spans="1:12">
      <c r="A443" s="36" t="s">
        <v>1241</v>
      </c>
      <c r="B443" t="s">
        <v>1242</v>
      </c>
      <c r="C443" s="37" t="s">
        <v>14</v>
      </c>
      <c r="D443" s="37" t="s">
        <v>15</v>
      </c>
      <c r="E443" s="37" t="s">
        <v>20</v>
      </c>
      <c r="F443" s="38">
        <v>46199</v>
      </c>
      <c r="G443" s="39">
        <v>46162</v>
      </c>
      <c r="H443" s="54">
        <v>109.99</v>
      </c>
      <c r="I443" s="41">
        <v>32.67</v>
      </c>
      <c r="J443" s="38">
        <v>46202</v>
      </c>
      <c r="K443" s="36" t="s">
        <v>1243</v>
      </c>
      <c r="L443" s="37" t="s">
        <v>17</v>
      </c>
    </row>
    <row r="444" spans="1:12">
      <c r="A444" s="36" t="s">
        <v>1244</v>
      </c>
      <c r="B444" t="s">
        <v>1245</v>
      </c>
      <c r="C444" s="37" t="s">
        <v>14</v>
      </c>
      <c r="D444" s="37" t="s">
        <v>15</v>
      </c>
      <c r="E444" s="2" t="s">
        <v>169</v>
      </c>
      <c r="F444" s="38">
        <v>46196</v>
      </c>
      <c r="G444" s="39">
        <v>46162</v>
      </c>
      <c r="H444" s="54">
        <v>119.99</v>
      </c>
      <c r="I444" s="41">
        <v>51.86</v>
      </c>
      <c r="J444" s="38">
        <v>46201</v>
      </c>
      <c r="K444" s="36" t="s">
        <v>1246</v>
      </c>
      <c r="L444" s="37" t="s">
        <v>17</v>
      </c>
    </row>
    <row r="445" spans="1:12">
      <c r="A445" s="36" t="s">
        <v>1247</v>
      </c>
      <c r="B445" t="s">
        <v>1248</v>
      </c>
      <c r="C445" s="37" t="s">
        <v>14</v>
      </c>
      <c r="D445" s="37" t="s">
        <v>783</v>
      </c>
      <c r="E445" s="37" t="s">
        <v>20</v>
      </c>
      <c r="F445" s="38">
        <v>46205</v>
      </c>
      <c r="G445" s="39">
        <v>46162</v>
      </c>
      <c r="H445" s="54">
        <v>50.03</v>
      </c>
      <c r="I445" s="41"/>
      <c r="J445" s="39">
        <v>46207</v>
      </c>
      <c r="L445" s="37" t="s">
        <v>784</v>
      </c>
    </row>
    <row r="446" spans="1:12">
      <c r="A446" s="36" t="s">
        <v>1249</v>
      </c>
      <c r="B446" t="s">
        <v>1250</v>
      </c>
      <c r="C446" s="37" t="s">
        <v>14</v>
      </c>
      <c r="D446" s="37" t="s">
        <v>15</v>
      </c>
      <c r="E446" s="2" t="s">
        <v>55</v>
      </c>
      <c r="F446" s="38">
        <v>46196</v>
      </c>
      <c r="G446" s="39">
        <v>46162</v>
      </c>
      <c r="H446" s="54">
        <v>100.64</v>
      </c>
      <c r="I446" s="41">
        <v>55.22</v>
      </c>
      <c r="J446" s="38">
        <v>46198</v>
      </c>
      <c r="K446" s="36" t="s">
        <v>1251</v>
      </c>
      <c r="L446" s="37" t="s">
        <v>17</v>
      </c>
    </row>
    <row r="447" spans="1:12">
      <c r="A447" t="s">
        <v>1252</v>
      </c>
      <c r="B447" s="36" t="s">
        <v>1253</v>
      </c>
      <c r="C447" s="37" t="s">
        <v>473</v>
      </c>
      <c r="D447" s="37" t="s">
        <v>15</v>
      </c>
      <c r="E447" s="37" t="s">
        <v>55</v>
      </c>
      <c r="F447" s="38">
        <v>46195</v>
      </c>
      <c r="G447" s="39">
        <v>46127</v>
      </c>
      <c r="H447" s="41">
        <v>199.98</v>
      </c>
      <c r="I447" s="41">
        <v>30</v>
      </c>
      <c r="J447" s="39" t="s">
        <v>1254</v>
      </c>
      <c r="K447" s="36" t="s">
        <v>1255</v>
      </c>
      <c r="L447" s="37" t="s">
        <v>17</v>
      </c>
    </row>
    <row r="448" spans="1:12">
      <c r="A448" t="s">
        <v>1256</v>
      </c>
      <c r="B448" s="36" t="s">
        <v>1257</v>
      </c>
      <c r="C448" s="37" t="s">
        <v>473</v>
      </c>
      <c r="D448" s="37" t="s">
        <v>15</v>
      </c>
      <c r="E448" s="37" t="s">
        <v>55</v>
      </c>
      <c r="F448" s="38">
        <v>46195</v>
      </c>
      <c r="G448" s="39">
        <v>46122</v>
      </c>
      <c r="H448" s="41">
        <v>69.989999999999995</v>
      </c>
      <c r="I448" s="41">
        <v>10.23</v>
      </c>
      <c r="J448" s="39" t="s">
        <v>1258</v>
      </c>
      <c r="K448" s="36" t="s">
        <v>1259</v>
      </c>
      <c r="L448" s="37" t="s">
        <v>17</v>
      </c>
    </row>
    <row r="449" spans="1:12">
      <c r="A449" t="s">
        <v>1260</v>
      </c>
      <c r="B449" s="36" t="s">
        <v>1261</v>
      </c>
      <c r="C449" s="37" t="s">
        <v>473</v>
      </c>
      <c r="D449" s="37" t="s">
        <v>15</v>
      </c>
      <c r="E449" s="37" t="s">
        <v>58</v>
      </c>
      <c r="F449" s="38">
        <v>46195</v>
      </c>
      <c r="G449" s="39">
        <v>46122</v>
      </c>
      <c r="H449" s="41">
        <v>99.99</v>
      </c>
      <c r="I449" s="41">
        <v>14.93</v>
      </c>
      <c r="J449" s="39">
        <v>46199</v>
      </c>
      <c r="K449" s="36" t="s">
        <v>1262</v>
      </c>
      <c r="L449" s="37" t="s">
        <v>17</v>
      </c>
    </row>
    <row r="450" spans="1:12">
      <c r="A450" t="s">
        <v>1263</v>
      </c>
      <c r="B450" s="36" t="s">
        <v>1264</v>
      </c>
      <c r="C450" s="37" t="s">
        <v>473</v>
      </c>
      <c r="D450" s="37" t="s">
        <v>15</v>
      </c>
      <c r="E450" s="37" t="s">
        <v>55</v>
      </c>
      <c r="F450" s="38">
        <v>46195</v>
      </c>
      <c r="G450" s="39">
        <v>46127</v>
      </c>
      <c r="H450" s="41">
        <v>159.97999999999999</v>
      </c>
      <c r="I450" s="41">
        <v>23.35</v>
      </c>
      <c r="J450" s="39">
        <v>46198</v>
      </c>
      <c r="K450" s="36" t="s">
        <v>1265</v>
      </c>
      <c r="L450" s="37" t="s">
        <v>17</v>
      </c>
    </row>
    <row r="451" spans="1:12">
      <c r="A451" t="s">
        <v>1266</v>
      </c>
      <c r="B451" s="36" t="s">
        <v>1267</v>
      </c>
      <c r="C451" s="37" t="s">
        <v>473</v>
      </c>
      <c r="D451" s="37" t="s">
        <v>15</v>
      </c>
      <c r="E451" s="37" t="s">
        <v>62</v>
      </c>
      <c r="F451" s="38">
        <v>46195</v>
      </c>
      <c r="G451" s="39">
        <v>46127</v>
      </c>
      <c r="H451" s="41">
        <v>99.99</v>
      </c>
      <c r="I451" s="41">
        <v>14.59</v>
      </c>
      <c r="J451" s="39">
        <v>46200</v>
      </c>
      <c r="K451" s="36" t="s">
        <v>1268</v>
      </c>
      <c r="L451" s="37" t="s">
        <v>17</v>
      </c>
    </row>
    <row r="452" spans="1:12">
      <c r="A452" t="s">
        <v>1269</v>
      </c>
      <c r="B452" s="36" t="s">
        <v>1270</v>
      </c>
      <c r="C452" s="37" t="s">
        <v>473</v>
      </c>
      <c r="D452" s="37" t="s">
        <v>15</v>
      </c>
      <c r="E452" s="37" t="s">
        <v>58</v>
      </c>
      <c r="F452" s="38">
        <v>46196</v>
      </c>
      <c r="G452" s="39">
        <v>46122</v>
      </c>
      <c r="H452" s="41">
        <v>1856.61</v>
      </c>
      <c r="I452" s="41">
        <v>277.33</v>
      </c>
      <c r="J452" s="39">
        <v>46199</v>
      </c>
      <c r="K452" s="36" t="s">
        <v>1271</v>
      </c>
      <c r="L452" s="37" t="s">
        <v>17</v>
      </c>
    </row>
    <row r="453" spans="1:12">
      <c r="A453" t="s">
        <v>1272</v>
      </c>
      <c r="B453" s="36" t="s">
        <v>1273</v>
      </c>
      <c r="C453" s="37" t="s">
        <v>473</v>
      </c>
      <c r="D453" s="37" t="s">
        <v>15</v>
      </c>
      <c r="E453" s="37" t="s">
        <v>23</v>
      </c>
      <c r="F453" s="38">
        <v>46195</v>
      </c>
      <c r="G453" s="39">
        <v>46127</v>
      </c>
      <c r="H453" s="41">
        <v>206.32</v>
      </c>
      <c r="I453" s="41">
        <v>59.03</v>
      </c>
      <c r="J453" s="39">
        <v>46199</v>
      </c>
      <c r="K453" s="36" t="s">
        <v>1274</v>
      </c>
      <c r="L453" s="37" t="s">
        <v>17</v>
      </c>
    </row>
    <row r="454" spans="1:12">
      <c r="A454" t="s">
        <v>1275</v>
      </c>
      <c r="B454" s="36" t="s">
        <v>1276</v>
      </c>
      <c r="C454" s="37" t="s">
        <v>473</v>
      </c>
      <c r="D454" s="37" t="s">
        <v>15</v>
      </c>
      <c r="E454" s="37" t="s">
        <v>58</v>
      </c>
      <c r="F454" s="38">
        <v>46196</v>
      </c>
      <c r="G454" s="39">
        <v>46127</v>
      </c>
      <c r="H454" s="41">
        <v>101.17</v>
      </c>
      <c r="I454" s="41">
        <v>29.23</v>
      </c>
      <c r="J454" s="39">
        <v>46200</v>
      </c>
      <c r="K454" s="36" t="s">
        <v>1277</v>
      </c>
      <c r="L454" s="37" t="s">
        <v>17</v>
      </c>
    </row>
    <row r="455" spans="1:12">
      <c r="A455" t="s">
        <v>1278</v>
      </c>
      <c r="B455" s="36" t="s">
        <v>1279</v>
      </c>
      <c r="C455" s="37" t="s">
        <v>473</v>
      </c>
      <c r="D455" s="37" t="s">
        <v>15</v>
      </c>
      <c r="E455" s="37" t="s">
        <v>55</v>
      </c>
      <c r="F455" s="38">
        <v>46195</v>
      </c>
      <c r="G455" s="39">
        <v>46127</v>
      </c>
      <c r="H455" s="41">
        <v>199.98</v>
      </c>
      <c r="I455" s="41">
        <v>680.4</v>
      </c>
      <c r="J455" s="39">
        <v>46198</v>
      </c>
      <c r="K455" s="36" t="s">
        <v>1280</v>
      </c>
      <c r="L455" s="37" t="s">
        <v>17</v>
      </c>
    </row>
    <row r="456" spans="1:12">
      <c r="A456" t="s">
        <v>1281</v>
      </c>
      <c r="B456" s="36" t="s">
        <v>1282</v>
      </c>
      <c r="C456" s="37" t="s">
        <v>473</v>
      </c>
      <c r="D456" s="37" t="s">
        <v>15</v>
      </c>
      <c r="E456" s="37" t="s">
        <v>62</v>
      </c>
      <c r="F456" s="38">
        <v>46195</v>
      </c>
      <c r="G456" s="39">
        <v>46127</v>
      </c>
      <c r="H456" s="41">
        <v>95.91</v>
      </c>
      <c r="I456" s="41">
        <v>14.46</v>
      </c>
      <c r="J456" s="39">
        <v>46200</v>
      </c>
      <c r="K456" s="36" t="s">
        <v>1283</v>
      </c>
      <c r="L456" s="37" t="s">
        <v>17</v>
      </c>
    </row>
    <row r="457" spans="1:12">
      <c r="A457" t="s">
        <v>1284</v>
      </c>
      <c r="B457" s="36" t="s">
        <v>1285</v>
      </c>
      <c r="C457" s="37" t="s">
        <v>473</v>
      </c>
      <c r="D457" s="37" t="s">
        <v>15</v>
      </c>
      <c r="E457" s="37" t="s">
        <v>23</v>
      </c>
      <c r="F457" s="38">
        <v>46195</v>
      </c>
      <c r="G457" s="39">
        <v>46127</v>
      </c>
      <c r="H457" s="41">
        <v>111.77</v>
      </c>
      <c r="I457" s="41">
        <v>16.850000000000001</v>
      </c>
      <c r="J457" s="39">
        <v>46200</v>
      </c>
      <c r="K457" s="36" t="s">
        <v>1286</v>
      </c>
      <c r="L457" s="37" t="s">
        <v>17</v>
      </c>
    </row>
    <row r="458" spans="1:12">
      <c r="A458" t="s">
        <v>1287</v>
      </c>
      <c r="B458" s="36" t="s">
        <v>1288</v>
      </c>
      <c r="C458" s="37" t="s">
        <v>473</v>
      </c>
      <c r="D458" s="37" t="s">
        <v>15</v>
      </c>
      <c r="E458" s="37" t="s">
        <v>55</v>
      </c>
      <c r="F458" s="38">
        <v>46196</v>
      </c>
      <c r="G458" s="39">
        <v>46127</v>
      </c>
      <c r="H458" s="41">
        <v>874.92</v>
      </c>
      <c r="I458" s="41">
        <v>254.29</v>
      </c>
      <c r="J458" s="39">
        <v>46198</v>
      </c>
      <c r="K458" s="36" t="s">
        <v>1289</v>
      </c>
      <c r="L458" s="37" t="s">
        <v>17</v>
      </c>
    </row>
    <row r="459" spans="1:12">
      <c r="A459" t="s">
        <v>1290</v>
      </c>
      <c r="B459" s="36" t="s">
        <v>1291</v>
      </c>
      <c r="C459" s="37" t="s">
        <v>473</v>
      </c>
      <c r="D459" s="37" t="s">
        <v>15</v>
      </c>
      <c r="E459" s="37" t="s">
        <v>55</v>
      </c>
      <c r="F459" s="38">
        <v>46195</v>
      </c>
      <c r="G459" s="39">
        <v>46127</v>
      </c>
      <c r="H459" s="41">
        <v>102.06</v>
      </c>
      <c r="I459" s="41">
        <v>33.549999999999997</v>
      </c>
      <c r="J459" s="39">
        <v>46199</v>
      </c>
      <c r="K459" s="36" t="s">
        <v>1292</v>
      </c>
      <c r="L459" s="37" t="s">
        <v>17</v>
      </c>
    </row>
    <row r="460" spans="1:12">
      <c r="A460" t="s">
        <v>1293</v>
      </c>
      <c r="B460" s="36" t="s">
        <v>1294</v>
      </c>
      <c r="C460" s="37" t="s">
        <v>473</v>
      </c>
      <c r="D460" s="37" t="s">
        <v>15</v>
      </c>
      <c r="E460" s="37" t="s">
        <v>169</v>
      </c>
      <c r="F460" s="38">
        <v>46195</v>
      </c>
      <c r="G460" s="39">
        <v>46122</v>
      </c>
      <c r="H460" s="41">
        <v>49.99</v>
      </c>
      <c r="I460" s="41">
        <v>14.55</v>
      </c>
      <c r="J460" s="39" t="s">
        <v>1254</v>
      </c>
      <c r="K460" s="36" t="s">
        <v>1295</v>
      </c>
      <c r="L460" s="37" t="s">
        <v>17</v>
      </c>
    </row>
    <row r="461" spans="1:12">
      <c r="A461" t="s">
        <v>1296</v>
      </c>
      <c r="B461" s="36" t="s">
        <v>1297</v>
      </c>
      <c r="C461" s="37" t="s">
        <v>473</v>
      </c>
      <c r="D461" s="37" t="s">
        <v>15</v>
      </c>
      <c r="E461" s="37" t="s">
        <v>23</v>
      </c>
      <c r="F461" s="38">
        <v>46195</v>
      </c>
      <c r="G461" s="39">
        <v>46127</v>
      </c>
      <c r="H461" s="41">
        <v>106.09</v>
      </c>
      <c r="I461" s="41">
        <v>29.94</v>
      </c>
      <c r="J461" s="39">
        <v>46200</v>
      </c>
      <c r="K461" s="36" t="s">
        <v>1298</v>
      </c>
      <c r="L461" s="37" t="s">
        <v>17</v>
      </c>
    </row>
    <row r="462" spans="1:12">
      <c r="A462" t="s">
        <v>1299</v>
      </c>
      <c r="B462" s="36" t="s">
        <v>1300</v>
      </c>
      <c r="C462" s="37" t="s">
        <v>473</v>
      </c>
      <c r="D462" s="37" t="s">
        <v>15</v>
      </c>
      <c r="E462" s="37" t="s">
        <v>58</v>
      </c>
      <c r="F462" s="38">
        <v>46196</v>
      </c>
      <c r="G462" s="39">
        <v>46127</v>
      </c>
      <c r="H462" s="41">
        <v>102.11</v>
      </c>
      <c r="I462" s="41">
        <v>42.57</v>
      </c>
      <c r="J462" s="39">
        <v>46201</v>
      </c>
      <c r="K462" s="36" t="s">
        <v>1301</v>
      </c>
      <c r="L462" s="37" t="s">
        <v>17</v>
      </c>
    </row>
    <row r="463" spans="1:12">
      <c r="A463" t="s">
        <v>1302</v>
      </c>
      <c r="B463" s="36" t="s">
        <v>1303</v>
      </c>
      <c r="C463" s="37" t="s">
        <v>473</v>
      </c>
      <c r="D463" s="37" t="s">
        <v>15</v>
      </c>
      <c r="E463" s="37" t="s">
        <v>58</v>
      </c>
      <c r="F463" s="38">
        <v>46195</v>
      </c>
      <c r="G463" s="39">
        <v>46122</v>
      </c>
      <c r="H463" s="41">
        <v>102.84</v>
      </c>
      <c r="I463" s="41">
        <v>29.97</v>
      </c>
      <c r="J463" s="39">
        <v>46198</v>
      </c>
      <c r="K463" s="36" t="s">
        <v>1304</v>
      </c>
      <c r="L463" s="37" t="s">
        <v>17</v>
      </c>
    </row>
    <row r="464" spans="1:12">
      <c r="A464" t="s">
        <v>1305</v>
      </c>
      <c r="B464" s="36" t="s">
        <v>1306</v>
      </c>
      <c r="C464" s="37" t="s">
        <v>473</v>
      </c>
      <c r="D464" s="37" t="s">
        <v>15</v>
      </c>
      <c r="E464" s="37" t="s">
        <v>58</v>
      </c>
      <c r="F464" s="38">
        <v>46196</v>
      </c>
      <c r="G464" s="39">
        <v>46127</v>
      </c>
      <c r="H464" s="41">
        <v>103.43</v>
      </c>
      <c r="I464" s="41">
        <v>29.89</v>
      </c>
      <c r="J464" s="39">
        <v>46199</v>
      </c>
      <c r="K464" s="36" t="s">
        <v>1307</v>
      </c>
      <c r="L464" s="37" t="s">
        <v>17</v>
      </c>
    </row>
    <row r="465" spans="1:12">
      <c r="A465" t="s">
        <v>1308</v>
      </c>
      <c r="B465" s="36" t="s">
        <v>1309</v>
      </c>
      <c r="C465" s="37" t="s">
        <v>473</v>
      </c>
      <c r="D465" s="37" t="s">
        <v>15</v>
      </c>
      <c r="E465" s="37" t="s">
        <v>23</v>
      </c>
      <c r="F465" s="38">
        <v>46196</v>
      </c>
      <c r="G465" s="39">
        <v>46122</v>
      </c>
      <c r="H465" s="41">
        <v>49.99</v>
      </c>
      <c r="I465" s="41">
        <v>14.55</v>
      </c>
      <c r="J465" s="39">
        <v>46199</v>
      </c>
      <c r="K465" s="36" t="s">
        <v>1310</v>
      </c>
      <c r="L465" s="37" t="s">
        <v>17</v>
      </c>
    </row>
    <row r="466" spans="1:12">
      <c r="A466" t="s">
        <v>1311</v>
      </c>
      <c r="B466" s="36" t="s">
        <v>1312</v>
      </c>
      <c r="C466" s="37" t="s">
        <v>473</v>
      </c>
      <c r="D466" s="37" t="s">
        <v>15</v>
      </c>
      <c r="E466" s="37" t="s">
        <v>55</v>
      </c>
      <c r="F466" s="38">
        <v>46196</v>
      </c>
      <c r="G466" s="39">
        <v>46119</v>
      </c>
      <c r="H466" s="41">
        <v>78.11</v>
      </c>
      <c r="I466" s="41">
        <v>32.74</v>
      </c>
      <c r="J466" s="39">
        <v>46201</v>
      </c>
      <c r="K466" s="36" t="s">
        <v>1313</v>
      </c>
      <c r="L466" s="37" t="s">
        <v>17</v>
      </c>
    </row>
    <row r="467" spans="1:12">
      <c r="A467" t="s">
        <v>1314</v>
      </c>
      <c r="B467" s="36" t="s">
        <v>1315</v>
      </c>
      <c r="C467" s="37" t="s">
        <v>473</v>
      </c>
      <c r="D467" s="37" t="s">
        <v>15</v>
      </c>
      <c r="E467" s="37" t="s">
        <v>58</v>
      </c>
      <c r="F467" s="38">
        <v>46196</v>
      </c>
      <c r="G467" s="39">
        <v>46122</v>
      </c>
      <c r="H467" s="41">
        <v>199.96</v>
      </c>
      <c r="I467" s="41">
        <v>58.82</v>
      </c>
      <c r="J467" s="39">
        <v>46201</v>
      </c>
      <c r="K467" s="36" t="s">
        <v>1316</v>
      </c>
      <c r="L467" s="37" t="s">
        <v>17</v>
      </c>
    </row>
    <row r="468" spans="1:12">
      <c r="A468" t="s">
        <v>1317</v>
      </c>
      <c r="B468" s="36" t="s">
        <v>1318</v>
      </c>
      <c r="C468" s="37" t="s">
        <v>473</v>
      </c>
      <c r="D468" s="37" t="s">
        <v>15</v>
      </c>
      <c r="E468" s="37" t="s">
        <v>62</v>
      </c>
      <c r="F468" s="38">
        <v>46196</v>
      </c>
      <c r="G468" s="39">
        <v>46127</v>
      </c>
      <c r="H468" s="41">
        <v>99.99</v>
      </c>
      <c r="I468" s="41">
        <v>29.06</v>
      </c>
      <c r="J468" s="39">
        <v>46201</v>
      </c>
      <c r="K468" s="36" t="s">
        <v>1319</v>
      </c>
      <c r="L468" s="37" t="s">
        <v>17</v>
      </c>
    </row>
    <row r="469" spans="1:12">
      <c r="A469" t="s">
        <v>1320</v>
      </c>
      <c r="B469" s="36" t="s">
        <v>1321</v>
      </c>
      <c r="C469" s="37" t="s">
        <v>473</v>
      </c>
      <c r="D469" s="37" t="s">
        <v>15</v>
      </c>
      <c r="E469" s="37" t="s">
        <v>23</v>
      </c>
      <c r="F469" s="38">
        <v>46196</v>
      </c>
      <c r="G469" s="39">
        <v>46122</v>
      </c>
      <c r="H469" s="41">
        <v>119.97</v>
      </c>
      <c r="I469" s="41">
        <v>41.03</v>
      </c>
      <c r="J469" s="39">
        <v>46202</v>
      </c>
      <c r="K469" s="36" t="s">
        <v>1322</v>
      </c>
      <c r="L469" s="37" t="s">
        <v>17</v>
      </c>
    </row>
    <row r="470" spans="1:12">
      <c r="A470" t="s">
        <v>1323</v>
      </c>
      <c r="B470" s="36" t="s">
        <v>1324</v>
      </c>
      <c r="C470" s="37" t="s">
        <v>473</v>
      </c>
      <c r="D470" s="37" t="s">
        <v>15</v>
      </c>
      <c r="E470" s="37" t="s">
        <v>23</v>
      </c>
      <c r="F470" s="38">
        <v>46195</v>
      </c>
      <c r="G470" s="39">
        <v>46122</v>
      </c>
      <c r="H470" s="41">
        <v>81.77</v>
      </c>
      <c r="I470" s="41">
        <v>23.53</v>
      </c>
      <c r="J470" s="39">
        <v>46198</v>
      </c>
      <c r="K470" s="36" t="s">
        <v>1325</v>
      </c>
      <c r="L470" s="37" t="s">
        <v>17</v>
      </c>
    </row>
    <row r="471" spans="1:12">
      <c r="A471" t="s">
        <v>1326</v>
      </c>
      <c r="B471" s="36" t="s">
        <v>1327</v>
      </c>
      <c r="C471" s="37" t="s">
        <v>473</v>
      </c>
      <c r="D471" s="37" t="s">
        <v>15</v>
      </c>
      <c r="E471" s="37" t="s">
        <v>23</v>
      </c>
      <c r="F471" s="38">
        <v>46195</v>
      </c>
      <c r="G471" s="39">
        <v>46127</v>
      </c>
      <c r="H471" s="41">
        <v>86.24</v>
      </c>
      <c r="I471" s="41">
        <v>24.15</v>
      </c>
      <c r="J471" s="39">
        <v>46200</v>
      </c>
      <c r="K471" s="36" t="s">
        <v>1328</v>
      </c>
      <c r="L471" s="37" t="s">
        <v>17</v>
      </c>
    </row>
    <row r="472" spans="1:12">
      <c r="A472" t="s">
        <v>1329</v>
      </c>
      <c r="B472" s="36" t="s">
        <v>1330</v>
      </c>
      <c r="C472" s="37" t="s">
        <v>473</v>
      </c>
      <c r="D472" s="37" t="s">
        <v>15</v>
      </c>
      <c r="E472" s="37" t="s">
        <v>62</v>
      </c>
      <c r="F472" s="38">
        <v>46205</v>
      </c>
      <c r="G472" s="39">
        <v>46122</v>
      </c>
      <c r="H472" s="41">
        <v>101.98</v>
      </c>
      <c r="I472" s="41">
        <v>35.04</v>
      </c>
      <c r="J472" s="39">
        <v>46199</v>
      </c>
      <c r="K472" s="36" t="s">
        <v>1331</v>
      </c>
      <c r="L472" s="37" t="s">
        <v>17</v>
      </c>
    </row>
    <row r="473" spans="1:12">
      <c r="A473" t="s">
        <v>1332</v>
      </c>
      <c r="B473" s="36" t="s">
        <v>1333</v>
      </c>
      <c r="C473" s="37" t="s">
        <v>473</v>
      </c>
      <c r="D473" s="37" t="s">
        <v>15</v>
      </c>
      <c r="E473" s="37" t="s">
        <v>58</v>
      </c>
      <c r="F473" s="38">
        <v>46196</v>
      </c>
      <c r="G473" s="39">
        <v>46122</v>
      </c>
      <c r="H473" s="41">
        <v>101.98</v>
      </c>
      <c r="I473" s="41">
        <v>43.08</v>
      </c>
      <c r="J473" s="39">
        <v>46199</v>
      </c>
      <c r="K473" s="36" t="s">
        <v>1334</v>
      </c>
      <c r="L473" s="37" t="s">
        <v>17</v>
      </c>
    </row>
    <row r="474" spans="1:12">
      <c r="A474" t="s">
        <v>1335</v>
      </c>
      <c r="B474" s="36" t="s">
        <v>1336</v>
      </c>
      <c r="C474" s="37" t="s">
        <v>473</v>
      </c>
      <c r="D474" s="37" t="s">
        <v>15</v>
      </c>
      <c r="E474" s="37" t="s">
        <v>169</v>
      </c>
      <c r="F474" s="38">
        <v>46196</v>
      </c>
      <c r="G474" s="39">
        <v>46122</v>
      </c>
      <c r="H474" s="41">
        <v>172.89</v>
      </c>
      <c r="I474" s="41">
        <v>46.21</v>
      </c>
      <c r="J474" s="39">
        <v>46199</v>
      </c>
      <c r="K474" s="36" t="s">
        <v>1337</v>
      </c>
      <c r="L474" s="37" t="s">
        <v>17</v>
      </c>
    </row>
    <row r="475" spans="1:12">
      <c r="A475" t="s">
        <v>1338</v>
      </c>
      <c r="B475" s="36" t="s">
        <v>1339</v>
      </c>
      <c r="C475" s="37" t="s">
        <v>473</v>
      </c>
      <c r="D475" s="37" t="s">
        <v>15</v>
      </c>
      <c r="E475" s="37" t="s">
        <v>55</v>
      </c>
      <c r="F475" s="38">
        <v>46195</v>
      </c>
      <c r="G475" s="39">
        <v>46122</v>
      </c>
      <c r="H475" s="41">
        <v>159.99</v>
      </c>
      <c r="I475" s="41">
        <v>56.85</v>
      </c>
      <c r="J475" s="39">
        <v>46198</v>
      </c>
      <c r="K475" s="36" t="s">
        <v>1340</v>
      </c>
      <c r="L475" s="37" t="s">
        <v>17</v>
      </c>
    </row>
    <row r="476" spans="1:12">
      <c r="A476" t="s">
        <v>1341</v>
      </c>
      <c r="B476" s="36" t="s">
        <v>1342</v>
      </c>
      <c r="C476" s="37" t="s">
        <v>473</v>
      </c>
      <c r="D476" s="37" t="s">
        <v>15</v>
      </c>
      <c r="E476" s="37" t="s">
        <v>62</v>
      </c>
      <c r="F476" s="38">
        <v>46195</v>
      </c>
      <c r="G476" s="39">
        <v>46122</v>
      </c>
      <c r="H476" s="41">
        <v>86.02</v>
      </c>
      <c r="I476" s="41">
        <v>12.58</v>
      </c>
      <c r="J476" s="39">
        <v>46200</v>
      </c>
      <c r="K476" s="36" t="s">
        <v>1343</v>
      </c>
      <c r="L476" s="37" t="s">
        <v>17</v>
      </c>
    </row>
    <row r="477" spans="1:12">
      <c r="A477" t="s">
        <v>1344</v>
      </c>
      <c r="B477" s="36" t="s">
        <v>1345</v>
      </c>
      <c r="C477" s="37" t="s">
        <v>473</v>
      </c>
      <c r="D477" s="37" t="s">
        <v>15</v>
      </c>
      <c r="E477" s="37" t="s">
        <v>62</v>
      </c>
      <c r="F477" s="38">
        <v>46195</v>
      </c>
      <c r="G477" s="39">
        <v>46122</v>
      </c>
      <c r="H477" s="41">
        <v>119.98</v>
      </c>
      <c r="I477" s="41">
        <v>17.54</v>
      </c>
      <c r="J477" s="39">
        <v>46199</v>
      </c>
      <c r="K477" s="36" t="s">
        <v>1346</v>
      </c>
      <c r="L477" s="37" t="s">
        <v>17</v>
      </c>
    </row>
    <row r="478" spans="1:12">
      <c r="A478" t="s">
        <v>1347</v>
      </c>
      <c r="B478" s="36" t="s">
        <v>1348</v>
      </c>
      <c r="C478" s="37" t="s">
        <v>473</v>
      </c>
      <c r="D478" s="37" t="s">
        <v>15</v>
      </c>
      <c r="E478" s="37" t="s">
        <v>23</v>
      </c>
      <c r="F478" s="38">
        <v>46196</v>
      </c>
      <c r="G478" s="39">
        <v>46122</v>
      </c>
      <c r="H478" s="41">
        <v>62.94</v>
      </c>
      <c r="I478" s="41">
        <v>17.89</v>
      </c>
      <c r="J478" s="39">
        <v>46200</v>
      </c>
      <c r="K478" s="36" t="s">
        <v>1349</v>
      </c>
      <c r="L478" s="37" t="s">
        <v>17</v>
      </c>
    </row>
    <row r="479" spans="1:12">
      <c r="A479" t="s">
        <v>1350</v>
      </c>
      <c r="B479" s="36" t="s">
        <v>1351</v>
      </c>
      <c r="C479" s="37" t="s">
        <v>473</v>
      </c>
      <c r="D479" s="37" t="s">
        <v>15</v>
      </c>
      <c r="E479" s="37" t="s">
        <v>62</v>
      </c>
      <c r="F479" s="38">
        <v>46196</v>
      </c>
      <c r="G479" s="39">
        <v>46119</v>
      </c>
      <c r="H479" s="41">
        <v>86.68</v>
      </c>
      <c r="I479" s="41">
        <v>66.98</v>
      </c>
      <c r="J479" s="39" t="s">
        <v>1254</v>
      </c>
      <c r="K479" s="36" t="s">
        <v>1352</v>
      </c>
      <c r="L479" s="37" t="s">
        <v>17</v>
      </c>
    </row>
    <row r="480" spans="1:12">
      <c r="A480" t="s">
        <v>1353</v>
      </c>
      <c r="B480" t="s">
        <v>1354</v>
      </c>
      <c r="C480" s="37" t="s">
        <v>473</v>
      </c>
      <c r="D480" s="37" t="s">
        <v>15</v>
      </c>
      <c r="E480" s="37" t="s">
        <v>20</v>
      </c>
      <c r="F480" s="38">
        <v>46196</v>
      </c>
      <c r="G480" s="39">
        <v>46127</v>
      </c>
      <c r="H480" s="54">
        <v>52.99</v>
      </c>
      <c r="I480" s="41">
        <v>7.95</v>
      </c>
      <c r="J480" s="39">
        <v>46201</v>
      </c>
      <c r="K480" s="36" t="s">
        <v>1355</v>
      </c>
      <c r="L480" s="37" t="s">
        <v>17</v>
      </c>
    </row>
    <row r="481" spans="1:12">
      <c r="A481" t="s">
        <v>1356</v>
      </c>
      <c r="B481" t="s">
        <v>1357</v>
      </c>
      <c r="C481" s="37" t="s">
        <v>473</v>
      </c>
      <c r="D481" s="37" t="s">
        <v>15</v>
      </c>
      <c r="E481" s="37" t="s">
        <v>20</v>
      </c>
      <c r="F481" s="38">
        <v>46196</v>
      </c>
      <c r="G481" s="39">
        <v>46127</v>
      </c>
      <c r="H481" s="54">
        <v>69.989999999999995</v>
      </c>
      <c r="I481" s="41">
        <v>10.56</v>
      </c>
      <c r="J481" s="39">
        <v>46201</v>
      </c>
      <c r="K481" s="36" t="s">
        <v>1358</v>
      </c>
      <c r="L481" s="37" t="s">
        <v>17</v>
      </c>
    </row>
    <row r="482" spans="1:12">
      <c r="A482" t="s">
        <v>1359</v>
      </c>
      <c r="B482" t="s">
        <v>1360</v>
      </c>
      <c r="C482" s="37" t="s">
        <v>473</v>
      </c>
      <c r="D482" s="37" t="s">
        <v>15</v>
      </c>
      <c r="E482" s="37" t="s">
        <v>20</v>
      </c>
      <c r="F482" s="38">
        <v>46196</v>
      </c>
      <c r="G482" s="39">
        <v>46122</v>
      </c>
      <c r="H482" s="54">
        <v>42.17</v>
      </c>
      <c r="I482" s="41">
        <v>11.96</v>
      </c>
      <c r="J482" s="39">
        <v>46201</v>
      </c>
      <c r="K482" s="36" t="s">
        <v>1361</v>
      </c>
      <c r="L482" s="37" t="s">
        <v>17</v>
      </c>
    </row>
    <row r="483" spans="1:12">
      <c r="A483" t="s">
        <v>1362</v>
      </c>
      <c r="B483" t="s">
        <v>1363</v>
      </c>
      <c r="C483" s="37" t="s">
        <v>473</v>
      </c>
      <c r="D483" s="37" t="s">
        <v>783</v>
      </c>
      <c r="E483" s="37" t="s">
        <v>20</v>
      </c>
      <c r="F483" s="38">
        <v>46205</v>
      </c>
      <c r="G483" s="39">
        <v>46122</v>
      </c>
      <c r="H483" s="54">
        <v>73.62</v>
      </c>
      <c r="I483" s="41"/>
      <c r="J483" s="39">
        <v>46201</v>
      </c>
      <c r="L483" s="37" t="s">
        <v>784</v>
      </c>
    </row>
    <row r="484" spans="1:12">
      <c r="A484" t="s">
        <v>1364</v>
      </c>
      <c r="B484" t="s">
        <v>1365</v>
      </c>
      <c r="C484" s="37" t="s">
        <v>473</v>
      </c>
      <c r="D484" s="37" t="s">
        <v>15</v>
      </c>
      <c r="E484" s="37" t="s">
        <v>20</v>
      </c>
      <c r="F484" s="38">
        <v>46196</v>
      </c>
      <c r="G484" s="39">
        <v>46127</v>
      </c>
      <c r="H484" s="54">
        <v>1858.86</v>
      </c>
      <c r="I484" s="41">
        <v>531.66</v>
      </c>
      <c r="J484" s="39">
        <v>46201</v>
      </c>
      <c r="K484" s="36" t="s">
        <v>1366</v>
      </c>
      <c r="L484" s="37" t="s">
        <v>17</v>
      </c>
    </row>
    <row r="485" spans="1:12">
      <c r="A485" t="s">
        <v>1367</v>
      </c>
      <c r="B485" t="s">
        <v>1368</v>
      </c>
      <c r="C485" s="37" t="s">
        <v>473</v>
      </c>
      <c r="D485" s="37" t="s">
        <v>15</v>
      </c>
      <c r="E485" s="37" t="s">
        <v>20</v>
      </c>
      <c r="F485" s="38">
        <v>46196</v>
      </c>
      <c r="G485" s="39">
        <v>46119</v>
      </c>
      <c r="H485" s="54">
        <v>40.799999999999997</v>
      </c>
      <c r="I485" s="41">
        <v>5.97</v>
      </c>
      <c r="J485" s="39">
        <v>46201</v>
      </c>
      <c r="K485" s="36" t="s">
        <v>1369</v>
      </c>
      <c r="L485" s="37" t="s">
        <v>17</v>
      </c>
    </row>
    <row r="486" spans="1:12">
      <c r="A486" t="s">
        <v>1370</v>
      </c>
      <c r="B486" t="s">
        <v>1371</v>
      </c>
      <c r="C486" s="37" t="s">
        <v>473</v>
      </c>
      <c r="D486" s="37" t="s">
        <v>15</v>
      </c>
      <c r="E486" s="37" t="s">
        <v>20</v>
      </c>
      <c r="F486" s="38">
        <v>46196</v>
      </c>
      <c r="G486" s="39">
        <v>46127</v>
      </c>
      <c r="H486" s="54">
        <v>56.57</v>
      </c>
      <c r="I486" s="41">
        <v>15.92</v>
      </c>
      <c r="J486" s="39">
        <v>46201</v>
      </c>
      <c r="K486" s="36" t="s">
        <v>1372</v>
      </c>
      <c r="L486" s="37" t="s">
        <v>17</v>
      </c>
    </row>
    <row r="487" spans="1:12">
      <c r="A487" t="s">
        <v>1373</v>
      </c>
      <c r="B487" t="s">
        <v>1374</v>
      </c>
      <c r="C487" s="37" t="s">
        <v>473</v>
      </c>
      <c r="D487" s="37" t="s">
        <v>15</v>
      </c>
      <c r="E487" s="37" t="s">
        <v>20</v>
      </c>
      <c r="F487" s="38">
        <v>46196</v>
      </c>
      <c r="G487" s="39">
        <v>46127</v>
      </c>
      <c r="H487" s="54">
        <v>79.989999999999995</v>
      </c>
      <c r="I487" s="41">
        <v>38.549999999999997</v>
      </c>
      <c r="J487" s="39">
        <v>46201</v>
      </c>
      <c r="K487" s="36" t="s">
        <v>1375</v>
      </c>
      <c r="L487" s="37" t="s">
        <v>17</v>
      </c>
    </row>
    <row r="488" spans="1:12">
      <c r="A488" t="s">
        <v>1376</v>
      </c>
      <c r="B488" t="s">
        <v>1377</v>
      </c>
      <c r="C488" s="37" t="s">
        <v>473</v>
      </c>
      <c r="D488" s="37" t="s">
        <v>15</v>
      </c>
      <c r="E488" s="37" t="s">
        <v>20</v>
      </c>
      <c r="F488" s="38">
        <v>46196</v>
      </c>
      <c r="G488" s="39">
        <v>46127</v>
      </c>
      <c r="H488" s="54">
        <v>99.99</v>
      </c>
      <c r="I488" s="41">
        <v>42.04</v>
      </c>
      <c r="J488" s="39">
        <v>46201</v>
      </c>
      <c r="K488" s="36" t="s">
        <v>1378</v>
      </c>
      <c r="L488" s="37" t="s">
        <v>17</v>
      </c>
    </row>
    <row r="489" spans="1:12">
      <c r="A489" t="s">
        <v>1379</v>
      </c>
      <c r="B489" t="s">
        <v>1380</v>
      </c>
      <c r="C489" s="37" t="s">
        <v>473</v>
      </c>
      <c r="D489" s="37" t="s">
        <v>15</v>
      </c>
      <c r="E489" s="37" t="s">
        <v>20</v>
      </c>
      <c r="F489" s="38">
        <v>46196</v>
      </c>
      <c r="G489" s="39">
        <v>46122</v>
      </c>
      <c r="H489" s="54">
        <v>42.54</v>
      </c>
      <c r="I489" s="41">
        <v>12.01</v>
      </c>
      <c r="J489" s="39">
        <v>46201</v>
      </c>
      <c r="K489" s="36" t="s">
        <v>1381</v>
      </c>
      <c r="L489" s="37" t="s">
        <v>17</v>
      </c>
    </row>
    <row r="490" spans="1:12">
      <c r="A490" s="43" t="s">
        <v>1382</v>
      </c>
      <c r="B490" t="s">
        <v>1383</v>
      </c>
      <c r="C490" s="50" t="s">
        <v>14</v>
      </c>
      <c r="D490" s="37" t="s">
        <v>15</v>
      </c>
      <c r="E490" s="37" t="s">
        <v>55</v>
      </c>
      <c r="F490" s="38">
        <v>46196</v>
      </c>
      <c r="G490" s="39">
        <v>46174</v>
      </c>
      <c r="H490" s="54">
        <v>109.99</v>
      </c>
      <c r="I490" s="54">
        <v>50</v>
      </c>
      <c r="J490" s="39">
        <v>46201</v>
      </c>
      <c r="K490" s="36" t="s">
        <v>1384</v>
      </c>
      <c r="L490" s="37" t="s">
        <v>17</v>
      </c>
    </row>
    <row r="491" spans="1:12">
      <c r="A491" s="43" t="s">
        <v>1385</v>
      </c>
      <c r="B491" t="s">
        <v>1386</v>
      </c>
      <c r="C491" s="50" t="s">
        <v>14</v>
      </c>
      <c r="D491" s="37" t="s">
        <v>15</v>
      </c>
      <c r="E491" s="37" t="s">
        <v>16</v>
      </c>
      <c r="F491" s="38">
        <v>46196</v>
      </c>
      <c r="G491" s="39">
        <v>46174</v>
      </c>
      <c r="H491" s="54">
        <v>34.72</v>
      </c>
      <c r="I491" s="54"/>
      <c r="J491" s="39">
        <v>46199</v>
      </c>
      <c r="L491" s="37" t="s">
        <v>17</v>
      </c>
    </row>
    <row r="492" spans="1:12">
      <c r="A492" s="43" t="s">
        <v>1387</v>
      </c>
      <c r="B492" t="s">
        <v>1388</v>
      </c>
      <c r="C492" s="50" t="s">
        <v>14</v>
      </c>
      <c r="D492" s="37" t="s">
        <v>15</v>
      </c>
      <c r="E492" s="37" t="s">
        <v>55</v>
      </c>
      <c r="F492" s="38">
        <v>46198</v>
      </c>
      <c r="G492" s="39">
        <v>46174</v>
      </c>
      <c r="H492" s="54">
        <v>50.83</v>
      </c>
      <c r="I492" s="54">
        <v>31.14</v>
      </c>
      <c r="J492" s="39">
        <v>46202</v>
      </c>
      <c r="K492" s="36" t="s">
        <v>1389</v>
      </c>
      <c r="L492" s="37" t="s">
        <v>17</v>
      </c>
    </row>
    <row r="493" spans="1:12">
      <c r="A493" s="43" t="s">
        <v>1390</v>
      </c>
      <c r="B493" t="s">
        <v>1391</v>
      </c>
      <c r="C493" s="50" t="s">
        <v>14</v>
      </c>
      <c r="D493" s="37" t="s">
        <v>15</v>
      </c>
      <c r="E493" s="37" t="s">
        <v>23</v>
      </c>
      <c r="F493" s="38">
        <v>46202</v>
      </c>
      <c r="G493" s="39">
        <v>46174</v>
      </c>
      <c r="H493" s="54">
        <v>89.99</v>
      </c>
      <c r="I493" s="54">
        <v>21.26</v>
      </c>
      <c r="J493" s="39">
        <v>46207</v>
      </c>
      <c r="K493" s="36" t="s">
        <v>1392</v>
      </c>
      <c r="L493" s="37" t="s">
        <v>17</v>
      </c>
    </row>
    <row r="494" spans="1:12">
      <c r="A494" s="43" t="s">
        <v>97</v>
      </c>
      <c r="B494" t="s">
        <v>98</v>
      </c>
      <c r="C494" s="50" t="s">
        <v>14</v>
      </c>
      <c r="D494" s="37" t="s">
        <v>15</v>
      </c>
      <c r="E494" s="37" t="s">
        <v>20</v>
      </c>
      <c r="F494" s="38">
        <v>46204</v>
      </c>
      <c r="G494" s="39">
        <v>46174</v>
      </c>
      <c r="H494" s="54">
        <v>119.99</v>
      </c>
      <c r="I494" s="54">
        <v>24.36</v>
      </c>
      <c r="J494" s="39">
        <v>46208</v>
      </c>
      <c r="K494" s="36" t="s">
        <v>1393</v>
      </c>
      <c r="L494" s="37" t="s">
        <v>17</v>
      </c>
    </row>
    <row r="495" spans="1:12">
      <c r="A495" s="43" t="s">
        <v>1394</v>
      </c>
      <c r="B495" t="s">
        <v>1395</v>
      </c>
      <c r="C495" s="50" t="s">
        <v>14</v>
      </c>
      <c r="D495" s="37" t="s">
        <v>15</v>
      </c>
      <c r="E495" s="37" t="s">
        <v>55</v>
      </c>
      <c r="F495" s="38">
        <v>46198</v>
      </c>
      <c r="G495" s="39">
        <v>46174</v>
      </c>
      <c r="H495" s="54">
        <v>73.36</v>
      </c>
      <c r="I495" s="54">
        <v>35.08</v>
      </c>
      <c r="J495" s="39">
        <v>46202</v>
      </c>
      <c r="K495" s="36" t="s">
        <v>1396</v>
      </c>
      <c r="L495" s="37" t="s">
        <v>17</v>
      </c>
    </row>
    <row r="496" spans="1:12">
      <c r="A496" s="43" t="s">
        <v>1397</v>
      </c>
      <c r="B496" t="s">
        <v>1398</v>
      </c>
      <c r="C496" s="50" t="s">
        <v>14</v>
      </c>
      <c r="D496" s="37" t="s">
        <v>783</v>
      </c>
      <c r="F496" s="38">
        <v>46218</v>
      </c>
      <c r="G496" s="39">
        <v>46174</v>
      </c>
      <c r="H496" s="54">
        <v>109.99</v>
      </c>
      <c r="I496" s="54"/>
      <c r="L496" s="37" t="s">
        <v>784</v>
      </c>
    </row>
    <row r="497" spans="1:12">
      <c r="A497" s="43" t="s">
        <v>1399</v>
      </c>
      <c r="B497" t="s">
        <v>1400</v>
      </c>
      <c r="C497" s="50" t="s">
        <v>14</v>
      </c>
      <c r="D497" s="37" t="s">
        <v>15</v>
      </c>
      <c r="E497" s="37" t="s">
        <v>20</v>
      </c>
      <c r="F497" s="38">
        <v>46204</v>
      </c>
      <c r="G497" s="39">
        <v>46174</v>
      </c>
      <c r="H497" s="54">
        <v>125.7</v>
      </c>
      <c r="I497" s="54">
        <v>25.95</v>
      </c>
      <c r="J497" s="39">
        <v>46208</v>
      </c>
      <c r="K497" s="36" t="s">
        <v>1401</v>
      </c>
      <c r="L497" s="37" t="s">
        <v>17</v>
      </c>
    </row>
    <row r="498" spans="1:12">
      <c r="A498" s="43" t="s">
        <v>1402</v>
      </c>
      <c r="B498" t="s">
        <v>1403</v>
      </c>
      <c r="C498" s="50" t="s">
        <v>14</v>
      </c>
      <c r="D498" s="37" t="s">
        <v>15</v>
      </c>
      <c r="E498" s="37" t="s">
        <v>55</v>
      </c>
      <c r="F498" s="38">
        <v>46199</v>
      </c>
      <c r="G498" s="39">
        <v>46174</v>
      </c>
      <c r="H498" s="54">
        <v>112.68</v>
      </c>
      <c r="I498" s="54">
        <v>45.77</v>
      </c>
      <c r="J498" s="39">
        <v>46203</v>
      </c>
      <c r="K498" s="36" t="s">
        <v>1404</v>
      </c>
      <c r="L498" s="37" t="s">
        <v>17</v>
      </c>
    </row>
    <row r="499" spans="1:12">
      <c r="A499" s="43" t="s">
        <v>1405</v>
      </c>
      <c r="B499" t="s">
        <v>1406</v>
      </c>
      <c r="C499" s="50" t="s">
        <v>14</v>
      </c>
      <c r="D499" s="37" t="s">
        <v>15</v>
      </c>
      <c r="E499" s="37" t="s">
        <v>55</v>
      </c>
      <c r="F499" s="38">
        <v>46198</v>
      </c>
      <c r="G499" s="39">
        <v>46174</v>
      </c>
      <c r="H499" s="54">
        <v>129.99</v>
      </c>
      <c r="I499" s="54">
        <v>26</v>
      </c>
      <c r="J499" s="39">
        <v>46202</v>
      </c>
      <c r="K499" s="36" t="s">
        <v>1407</v>
      </c>
      <c r="L499" s="37" t="s">
        <v>17</v>
      </c>
    </row>
    <row r="500" spans="1:12">
      <c r="A500" s="43" t="s">
        <v>1408</v>
      </c>
      <c r="B500" t="s">
        <v>1409</v>
      </c>
      <c r="C500" s="50" t="s">
        <v>14</v>
      </c>
      <c r="D500" s="37" t="s">
        <v>15</v>
      </c>
      <c r="E500" s="37" t="s">
        <v>55</v>
      </c>
      <c r="F500" s="38">
        <v>46199</v>
      </c>
      <c r="G500" s="39">
        <v>46174</v>
      </c>
      <c r="H500" s="54">
        <v>109.82</v>
      </c>
      <c r="I500" s="54">
        <v>44.76</v>
      </c>
      <c r="J500" s="39">
        <v>46203</v>
      </c>
      <c r="K500" s="36" t="s">
        <v>1410</v>
      </c>
      <c r="L500" s="37" t="s">
        <v>17</v>
      </c>
    </row>
    <row r="501" spans="1:12">
      <c r="A501" s="43" t="s">
        <v>1411</v>
      </c>
      <c r="B501" t="s">
        <v>1412</v>
      </c>
      <c r="C501" s="50" t="s">
        <v>14</v>
      </c>
      <c r="D501" s="37" t="s">
        <v>783</v>
      </c>
      <c r="F501" s="38">
        <v>46218</v>
      </c>
      <c r="G501" s="39">
        <v>46174</v>
      </c>
      <c r="H501" s="54">
        <v>109.99</v>
      </c>
      <c r="I501" s="54"/>
      <c r="L501" s="37" t="s">
        <v>784</v>
      </c>
    </row>
    <row r="502" spans="1:12">
      <c r="A502" s="43" t="s">
        <v>1413</v>
      </c>
      <c r="B502" t="s">
        <v>1414</v>
      </c>
      <c r="C502" s="50" t="s">
        <v>14</v>
      </c>
      <c r="D502" s="37" t="s">
        <v>15</v>
      </c>
      <c r="E502" s="37" t="s">
        <v>20</v>
      </c>
      <c r="F502" s="38">
        <v>46204</v>
      </c>
      <c r="G502" s="39">
        <v>46174</v>
      </c>
      <c r="H502" s="54">
        <v>109.99</v>
      </c>
      <c r="I502" s="54">
        <v>22.33</v>
      </c>
      <c r="J502" s="39">
        <v>46208</v>
      </c>
      <c r="K502" s="36" t="s">
        <v>1415</v>
      </c>
      <c r="L502" s="37" t="s">
        <v>17</v>
      </c>
    </row>
    <row r="503" spans="1:12">
      <c r="A503" s="43" t="s">
        <v>1416</v>
      </c>
      <c r="B503" t="s">
        <v>1417</v>
      </c>
      <c r="C503" s="50" t="s">
        <v>14</v>
      </c>
      <c r="D503" s="37" t="s">
        <v>15</v>
      </c>
      <c r="E503" s="37" t="s">
        <v>55</v>
      </c>
      <c r="F503" s="38">
        <v>46198</v>
      </c>
      <c r="G503" s="39">
        <v>46180</v>
      </c>
      <c r="H503" s="41">
        <v>109.99</v>
      </c>
      <c r="I503" s="54">
        <v>16.93</v>
      </c>
      <c r="J503" s="39">
        <v>46203</v>
      </c>
      <c r="K503" s="36" t="s">
        <v>1418</v>
      </c>
      <c r="L503" s="37" t="s">
        <v>17</v>
      </c>
    </row>
    <row r="504" spans="1:12">
      <c r="A504" s="43" t="s">
        <v>1419</v>
      </c>
      <c r="B504" t="s">
        <v>1420</v>
      </c>
      <c r="C504" s="50" t="s">
        <v>14</v>
      </c>
      <c r="D504" s="37" t="s">
        <v>15</v>
      </c>
      <c r="E504" s="37" t="s">
        <v>23</v>
      </c>
      <c r="F504" s="38">
        <v>46202</v>
      </c>
      <c r="G504" s="39">
        <v>46180</v>
      </c>
      <c r="H504" s="41">
        <v>62.38</v>
      </c>
      <c r="I504" s="54">
        <v>17.41</v>
      </c>
      <c r="J504" s="39">
        <v>46207</v>
      </c>
      <c r="K504" s="36" t="s">
        <v>1421</v>
      </c>
      <c r="L504" s="37" t="s">
        <v>17</v>
      </c>
    </row>
    <row r="505" spans="1:12">
      <c r="A505" s="43" t="s">
        <v>1422</v>
      </c>
      <c r="B505" t="s">
        <v>1423</v>
      </c>
      <c r="C505" s="50" t="s">
        <v>14</v>
      </c>
      <c r="D505" s="37" t="s">
        <v>15</v>
      </c>
      <c r="E505" s="37" t="s">
        <v>55</v>
      </c>
      <c r="F505" s="38">
        <v>46199</v>
      </c>
      <c r="G505" s="39">
        <v>46180</v>
      </c>
      <c r="H505" s="41">
        <v>109.99</v>
      </c>
      <c r="I505" s="54">
        <v>44.92</v>
      </c>
      <c r="J505" s="39">
        <v>44.92</v>
      </c>
      <c r="K505" s="36" t="s">
        <v>1424</v>
      </c>
      <c r="L505" s="37" t="s">
        <v>17</v>
      </c>
    </row>
    <row r="506" spans="1:12">
      <c r="A506" s="43" t="s">
        <v>1425</v>
      </c>
      <c r="B506" t="s">
        <v>1426</v>
      </c>
      <c r="C506" s="50" t="s">
        <v>14</v>
      </c>
      <c r="D506" s="37" t="s">
        <v>15</v>
      </c>
      <c r="E506" s="37" t="s">
        <v>55</v>
      </c>
      <c r="F506" s="38">
        <v>46198</v>
      </c>
      <c r="G506" s="39">
        <v>46180</v>
      </c>
      <c r="H506" s="41">
        <v>129.99</v>
      </c>
      <c r="I506" s="54">
        <v>20</v>
      </c>
      <c r="J506" s="39">
        <v>46203</v>
      </c>
      <c r="K506" s="36" t="s">
        <v>1427</v>
      </c>
      <c r="L506" s="37" t="s">
        <v>17</v>
      </c>
    </row>
    <row r="507" spans="1:12">
      <c r="A507" s="43" t="s">
        <v>1428</v>
      </c>
      <c r="B507" t="s">
        <v>1429</v>
      </c>
      <c r="C507" s="50" t="s">
        <v>14</v>
      </c>
      <c r="D507" s="37" t="s">
        <v>15</v>
      </c>
      <c r="E507" s="37" t="s">
        <v>16</v>
      </c>
      <c r="F507" s="38">
        <v>46196</v>
      </c>
      <c r="G507" s="39">
        <v>46180</v>
      </c>
      <c r="H507" s="41">
        <v>26.06</v>
      </c>
      <c r="I507" s="54"/>
      <c r="J507" s="39">
        <v>46199</v>
      </c>
      <c r="L507" s="37" t="s">
        <v>17</v>
      </c>
    </row>
    <row r="508" spans="1:12">
      <c r="A508" s="43" t="s">
        <v>1430</v>
      </c>
      <c r="B508" t="s">
        <v>1431</v>
      </c>
      <c r="C508" s="50" t="s">
        <v>14</v>
      </c>
      <c r="D508" s="37" t="s">
        <v>15</v>
      </c>
      <c r="E508" s="37" t="s">
        <v>58</v>
      </c>
      <c r="F508" s="38">
        <v>46198</v>
      </c>
      <c r="G508" s="39">
        <v>46180</v>
      </c>
      <c r="H508" s="41">
        <v>129.99</v>
      </c>
      <c r="I508" s="54">
        <v>48.89</v>
      </c>
      <c r="J508" s="39">
        <v>46201</v>
      </c>
      <c r="K508" s="36" t="s">
        <v>1432</v>
      </c>
      <c r="L508" s="37" t="s">
        <v>17</v>
      </c>
    </row>
    <row r="509" spans="1:12">
      <c r="A509" s="43" t="s">
        <v>1433</v>
      </c>
      <c r="B509" t="s">
        <v>1434</v>
      </c>
      <c r="C509" s="50" t="s">
        <v>14</v>
      </c>
      <c r="D509" s="37" t="s">
        <v>15</v>
      </c>
      <c r="E509" s="37" t="s">
        <v>16</v>
      </c>
      <c r="F509" s="38">
        <v>46196</v>
      </c>
      <c r="G509" s="39">
        <v>46180</v>
      </c>
      <c r="H509" s="41">
        <v>47.7</v>
      </c>
      <c r="I509" s="54"/>
      <c r="J509" s="39">
        <v>46199</v>
      </c>
      <c r="L509" s="37" t="s">
        <v>17</v>
      </c>
    </row>
    <row r="510" spans="1:12">
      <c r="A510" s="43" t="s">
        <v>1435</v>
      </c>
      <c r="B510" t="s">
        <v>1436</v>
      </c>
      <c r="C510" s="50" t="s">
        <v>14</v>
      </c>
      <c r="D510" s="37" t="s">
        <v>15</v>
      </c>
      <c r="E510" s="37" t="s">
        <v>20</v>
      </c>
      <c r="F510" s="38">
        <v>46204</v>
      </c>
      <c r="G510" s="39">
        <v>46180</v>
      </c>
      <c r="H510" s="41">
        <v>95.37</v>
      </c>
      <c r="I510" s="54">
        <v>20.8</v>
      </c>
      <c r="J510" s="39">
        <v>46208</v>
      </c>
      <c r="K510" s="36" t="s">
        <v>1437</v>
      </c>
      <c r="L510" s="37" t="s">
        <v>17</v>
      </c>
    </row>
    <row r="511" spans="1:12">
      <c r="A511" s="43" t="s">
        <v>1438</v>
      </c>
      <c r="B511" t="s">
        <v>1439</v>
      </c>
      <c r="C511" s="50" t="s">
        <v>14</v>
      </c>
      <c r="D511" s="37" t="s">
        <v>15</v>
      </c>
      <c r="E511" s="37" t="s">
        <v>58</v>
      </c>
      <c r="F511" s="38">
        <v>46202</v>
      </c>
      <c r="G511" s="39">
        <v>46180</v>
      </c>
      <c r="H511" s="41">
        <v>109.99</v>
      </c>
      <c r="I511" s="54">
        <v>44.6</v>
      </c>
      <c r="J511" s="39">
        <v>46175</v>
      </c>
      <c r="K511" s="36" t="s">
        <v>1440</v>
      </c>
      <c r="L511" s="37" t="s">
        <v>17</v>
      </c>
    </row>
    <row r="512" spans="1:12">
      <c r="A512" s="43" t="s">
        <v>1441</v>
      </c>
      <c r="B512" t="s">
        <v>1442</v>
      </c>
      <c r="C512" s="50" t="s">
        <v>14</v>
      </c>
      <c r="D512" s="37" t="s">
        <v>15</v>
      </c>
      <c r="E512" s="37" t="s">
        <v>169</v>
      </c>
      <c r="F512" s="38">
        <v>46202</v>
      </c>
      <c r="G512" s="39">
        <v>46180</v>
      </c>
      <c r="H512" s="41">
        <v>95.37</v>
      </c>
      <c r="I512" s="54">
        <v>39.479999999999997</v>
      </c>
      <c r="J512" s="39">
        <v>46206</v>
      </c>
      <c r="K512" s="36" t="s">
        <v>1443</v>
      </c>
      <c r="L512" s="37" t="s">
        <v>17</v>
      </c>
    </row>
    <row r="513" spans="1:12">
      <c r="A513" s="43" t="s">
        <v>31</v>
      </c>
      <c r="B513" t="s">
        <v>1444</v>
      </c>
      <c r="C513" s="50" t="s">
        <v>14</v>
      </c>
      <c r="D513" s="37" t="s">
        <v>15</v>
      </c>
      <c r="E513" s="37" t="s">
        <v>55</v>
      </c>
      <c r="F513" s="38">
        <v>46198</v>
      </c>
      <c r="G513" s="39">
        <v>46180</v>
      </c>
      <c r="H513" s="41">
        <v>109.99</v>
      </c>
      <c r="I513" s="54">
        <v>44.72</v>
      </c>
      <c r="J513" s="39">
        <v>46203</v>
      </c>
      <c r="K513" s="36" t="s">
        <v>1445</v>
      </c>
      <c r="L513" s="37" t="s">
        <v>17</v>
      </c>
    </row>
    <row r="514" spans="1:12">
      <c r="A514" s="43" t="s">
        <v>1446</v>
      </c>
      <c r="B514" t="s">
        <v>1447</v>
      </c>
      <c r="C514" s="50" t="s">
        <v>14</v>
      </c>
      <c r="D514" s="37" t="s">
        <v>15</v>
      </c>
      <c r="E514" s="37" t="s">
        <v>169</v>
      </c>
      <c r="F514" s="38">
        <v>46202</v>
      </c>
      <c r="G514" s="39">
        <v>46180</v>
      </c>
      <c r="H514" s="41">
        <v>109.46</v>
      </c>
      <c r="I514" s="54">
        <v>35</v>
      </c>
      <c r="J514" s="39">
        <v>46204</v>
      </c>
      <c r="K514" s="36" t="s">
        <v>1448</v>
      </c>
      <c r="L514" s="37" t="s">
        <v>17</v>
      </c>
    </row>
    <row r="515" spans="1:12">
      <c r="A515" s="43" t="s">
        <v>64</v>
      </c>
      <c r="B515" t="s">
        <v>65</v>
      </c>
      <c r="C515" s="50" t="s">
        <v>14</v>
      </c>
      <c r="D515" s="37" t="s">
        <v>15</v>
      </c>
      <c r="E515" s="37" t="s">
        <v>20</v>
      </c>
      <c r="F515" s="38">
        <v>46204</v>
      </c>
      <c r="G515" s="39">
        <v>46180</v>
      </c>
      <c r="H515" s="41">
        <v>66.86</v>
      </c>
      <c r="I515" s="54">
        <v>18.190000000000001</v>
      </c>
      <c r="J515" s="39">
        <v>46208</v>
      </c>
      <c r="K515" s="36" t="s">
        <v>1449</v>
      </c>
      <c r="L515" s="37" t="s">
        <v>17</v>
      </c>
    </row>
    <row r="516" spans="1:12">
      <c r="A516" s="43" t="s">
        <v>1450</v>
      </c>
      <c r="B516" t="s">
        <v>1451</v>
      </c>
      <c r="C516" s="50" t="s">
        <v>14</v>
      </c>
      <c r="D516" s="37" t="s">
        <v>15</v>
      </c>
      <c r="E516" s="37" t="s">
        <v>55</v>
      </c>
      <c r="F516" s="38">
        <v>46199</v>
      </c>
      <c r="G516" s="39">
        <v>46180</v>
      </c>
      <c r="H516" s="41">
        <v>99.99</v>
      </c>
      <c r="I516" s="54">
        <v>40.83</v>
      </c>
      <c r="J516" s="39">
        <v>46203</v>
      </c>
      <c r="K516" s="36" t="s">
        <v>1452</v>
      </c>
      <c r="L516" s="37" t="s">
        <v>17</v>
      </c>
    </row>
    <row r="517" spans="1:12">
      <c r="A517" s="43" t="s">
        <v>1453</v>
      </c>
      <c r="B517" t="s">
        <v>1454</v>
      </c>
      <c r="C517" s="50" t="s">
        <v>14</v>
      </c>
      <c r="D517" s="37" t="s">
        <v>15</v>
      </c>
      <c r="E517" s="37" t="s">
        <v>62</v>
      </c>
      <c r="F517" s="38">
        <v>46199</v>
      </c>
      <c r="G517" s="39">
        <v>46180</v>
      </c>
      <c r="H517" s="41">
        <v>112.23</v>
      </c>
      <c r="I517" s="54">
        <v>34.56</v>
      </c>
      <c r="J517" s="39">
        <v>46203</v>
      </c>
      <c r="K517" s="36" t="s">
        <v>1455</v>
      </c>
      <c r="L517" s="37" t="s">
        <v>17</v>
      </c>
    </row>
    <row r="518" spans="1:12">
      <c r="A518" s="43" t="s">
        <v>1456</v>
      </c>
      <c r="B518" t="s">
        <v>1457</v>
      </c>
      <c r="C518" s="50" t="s">
        <v>14</v>
      </c>
      <c r="D518" s="37" t="s">
        <v>15</v>
      </c>
      <c r="E518" s="37" t="s">
        <v>58</v>
      </c>
      <c r="F518" s="38">
        <v>46202</v>
      </c>
      <c r="G518" s="39">
        <v>46180</v>
      </c>
      <c r="H518" s="41">
        <v>111.39</v>
      </c>
      <c r="I518" s="54">
        <v>45.38</v>
      </c>
      <c r="J518" s="39">
        <v>46176</v>
      </c>
      <c r="K518" s="36" t="s">
        <v>1458</v>
      </c>
      <c r="L518" s="37" t="s">
        <v>17</v>
      </c>
    </row>
    <row r="519" spans="1:12">
      <c r="A519" s="43" t="s">
        <v>1459</v>
      </c>
      <c r="B519" t="s">
        <v>1460</v>
      </c>
      <c r="C519" s="50" t="s">
        <v>14</v>
      </c>
      <c r="D519" s="37" t="s">
        <v>15</v>
      </c>
      <c r="E519" s="37" t="s">
        <v>58</v>
      </c>
      <c r="F519" s="38">
        <v>46199</v>
      </c>
      <c r="G519" s="39">
        <v>46180</v>
      </c>
      <c r="H519" s="41">
        <v>100.37</v>
      </c>
      <c r="I519" s="54">
        <v>41.13</v>
      </c>
      <c r="J519" s="39">
        <v>46202</v>
      </c>
      <c r="K519" s="36" t="s">
        <v>1461</v>
      </c>
      <c r="L519" s="37" t="s">
        <v>17</v>
      </c>
    </row>
    <row r="520" spans="1:12">
      <c r="A520" s="43" t="s">
        <v>1462</v>
      </c>
      <c r="B520" t="s">
        <v>1463</v>
      </c>
      <c r="C520" s="50" t="s">
        <v>14</v>
      </c>
      <c r="D520" s="37" t="s">
        <v>15</v>
      </c>
      <c r="E520" s="37" t="s">
        <v>55</v>
      </c>
      <c r="F520" s="38">
        <v>46198</v>
      </c>
      <c r="G520" s="39">
        <v>46180</v>
      </c>
      <c r="H520" s="41">
        <v>111.55</v>
      </c>
      <c r="I520" s="54">
        <v>22.7</v>
      </c>
      <c r="J520" s="39">
        <v>46203</v>
      </c>
      <c r="K520" s="36" t="s">
        <v>1464</v>
      </c>
      <c r="L520" s="37" t="s">
        <v>17</v>
      </c>
    </row>
    <row r="521" spans="1:12">
      <c r="A521" s="43" t="s">
        <v>1465</v>
      </c>
      <c r="B521" t="s">
        <v>1466</v>
      </c>
      <c r="C521" s="50" t="s">
        <v>14</v>
      </c>
      <c r="D521" s="37" t="s">
        <v>15</v>
      </c>
      <c r="E521" s="37" t="s">
        <v>55</v>
      </c>
      <c r="F521" s="38">
        <v>46199</v>
      </c>
      <c r="G521" s="39">
        <v>46180</v>
      </c>
      <c r="H521" s="41">
        <v>129.79</v>
      </c>
      <c r="I521" s="54">
        <v>26.64</v>
      </c>
      <c r="J521" s="39">
        <v>46203</v>
      </c>
      <c r="K521" s="36" t="s">
        <v>1467</v>
      </c>
      <c r="L521" s="37" t="s">
        <v>17</v>
      </c>
    </row>
    <row r="522" spans="1:12">
      <c r="A522" s="43" t="s">
        <v>1468</v>
      </c>
      <c r="B522" t="s">
        <v>1469</v>
      </c>
      <c r="C522" s="50" t="s">
        <v>14</v>
      </c>
      <c r="D522" s="37" t="s">
        <v>15</v>
      </c>
      <c r="E522" s="37" t="s">
        <v>55</v>
      </c>
      <c r="F522" s="38">
        <v>46199</v>
      </c>
      <c r="G522" s="39">
        <v>46180</v>
      </c>
      <c r="H522" s="41">
        <v>109.99</v>
      </c>
      <c r="I522" s="54">
        <v>44.77</v>
      </c>
      <c r="J522" s="39">
        <v>46204</v>
      </c>
      <c r="K522" s="36" t="s">
        <v>1470</v>
      </c>
      <c r="L522" s="37" t="s">
        <v>17</v>
      </c>
    </row>
    <row r="523" spans="1:12">
      <c r="A523" s="43" t="s">
        <v>1471</v>
      </c>
      <c r="B523" t="s">
        <v>1472</v>
      </c>
      <c r="C523" s="50" t="s">
        <v>14</v>
      </c>
      <c r="D523" s="37" t="s">
        <v>15</v>
      </c>
      <c r="E523" s="37" t="s">
        <v>55</v>
      </c>
      <c r="F523" s="38">
        <v>46198</v>
      </c>
      <c r="G523" s="39">
        <v>46180</v>
      </c>
      <c r="H523" s="41">
        <v>108.66</v>
      </c>
      <c r="I523" s="54">
        <v>44.64</v>
      </c>
      <c r="J523" s="39">
        <v>46203</v>
      </c>
      <c r="K523" s="36" t="s">
        <v>1473</v>
      </c>
      <c r="L523" s="37" t="s">
        <v>17</v>
      </c>
    </row>
    <row r="524" spans="1:12">
      <c r="A524" s="43" t="s">
        <v>1474</v>
      </c>
      <c r="B524" t="s">
        <v>1475</v>
      </c>
      <c r="C524" s="50" t="s">
        <v>14</v>
      </c>
      <c r="D524" s="37" t="s">
        <v>15</v>
      </c>
      <c r="E524" s="37" t="s">
        <v>20</v>
      </c>
      <c r="F524" s="38">
        <v>46204</v>
      </c>
      <c r="G524" s="39">
        <v>46180</v>
      </c>
      <c r="H524" s="41">
        <v>112.72</v>
      </c>
      <c r="I524" s="54">
        <v>24.59</v>
      </c>
      <c r="J524" s="39">
        <v>46208</v>
      </c>
      <c r="K524" s="36" t="s">
        <v>1476</v>
      </c>
      <c r="L524" s="37" t="s">
        <v>17</v>
      </c>
    </row>
    <row r="525" spans="1:12">
      <c r="A525" s="43" t="s">
        <v>1477</v>
      </c>
      <c r="B525" t="s">
        <v>1478</v>
      </c>
      <c r="C525" s="50" t="s">
        <v>14</v>
      </c>
      <c r="D525" s="37" t="s">
        <v>15</v>
      </c>
      <c r="E525" s="37" t="s">
        <v>62</v>
      </c>
      <c r="F525" s="38">
        <v>46198</v>
      </c>
      <c r="G525" s="39">
        <v>46180</v>
      </c>
      <c r="H525" s="41">
        <v>108.92</v>
      </c>
      <c r="I525" s="54">
        <v>22.35</v>
      </c>
      <c r="J525" s="39">
        <v>46202</v>
      </c>
      <c r="K525" s="36" t="s">
        <v>1479</v>
      </c>
      <c r="L525" s="37" t="s">
        <v>17</v>
      </c>
    </row>
    <row r="526" spans="1:12">
      <c r="A526" t="s">
        <v>1480</v>
      </c>
      <c r="B526" t="s">
        <v>1481</v>
      </c>
      <c r="C526" s="50" t="s">
        <v>14</v>
      </c>
      <c r="D526" s="37" t="s">
        <v>15</v>
      </c>
      <c r="E526" s="37" t="s">
        <v>55</v>
      </c>
      <c r="F526" s="38">
        <v>46198</v>
      </c>
      <c r="G526" s="39">
        <v>46180</v>
      </c>
      <c r="H526" s="41">
        <v>111.21</v>
      </c>
      <c r="I526" s="54">
        <v>33.61</v>
      </c>
      <c r="J526" s="39">
        <v>46203</v>
      </c>
      <c r="K526" s="36" t="s">
        <v>1482</v>
      </c>
      <c r="L526" s="37" t="s">
        <v>17</v>
      </c>
    </row>
    <row r="527" spans="1:12">
      <c r="A527" s="43" t="s">
        <v>1483</v>
      </c>
      <c r="B527" t="s">
        <v>1484</v>
      </c>
      <c r="C527" s="50" t="s">
        <v>14</v>
      </c>
      <c r="D527" s="37" t="s">
        <v>15</v>
      </c>
      <c r="E527" s="37" t="s">
        <v>16</v>
      </c>
      <c r="F527" s="38">
        <v>46196</v>
      </c>
      <c r="G527" s="39">
        <v>46180</v>
      </c>
      <c r="H527" s="41">
        <v>14.16</v>
      </c>
      <c r="I527" s="54"/>
      <c r="J527" s="39">
        <v>46199</v>
      </c>
      <c r="L527" s="37" t="s">
        <v>17</v>
      </c>
    </row>
    <row r="528" spans="1:12">
      <c r="A528" s="43" t="s">
        <v>1485</v>
      </c>
      <c r="B528" t="s">
        <v>1486</v>
      </c>
      <c r="C528" s="50" t="s">
        <v>14</v>
      </c>
      <c r="D528" s="37" t="s">
        <v>15</v>
      </c>
      <c r="E528" s="37" t="s">
        <v>20</v>
      </c>
      <c r="F528" s="38">
        <v>46204</v>
      </c>
      <c r="G528" s="39">
        <v>46180</v>
      </c>
      <c r="H528" s="41">
        <v>109.99</v>
      </c>
      <c r="I528" s="54">
        <v>22.3</v>
      </c>
      <c r="J528" s="39">
        <v>46208</v>
      </c>
      <c r="K528" s="36" t="s">
        <v>1487</v>
      </c>
      <c r="L528" s="37" t="s">
        <v>17</v>
      </c>
    </row>
    <row r="529" spans="1:12">
      <c r="A529" s="43" t="s">
        <v>1488</v>
      </c>
      <c r="B529" t="s">
        <v>1489</v>
      </c>
      <c r="C529" s="50" t="s">
        <v>14</v>
      </c>
      <c r="D529" s="37" t="s">
        <v>15</v>
      </c>
      <c r="E529" s="37" t="s">
        <v>62</v>
      </c>
      <c r="F529" s="38">
        <v>46198</v>
      </c>
      <c r="G529" s="39">
        <v>46180</v>
      </c>
      <c r="H529" s="41">
        <v>109.99</v>
      </c>
      <c r="I529" s="54">
        <v>22.57</v>
      </c>
      <c r="J529" s="39">
        <v>46202</v>
      </c>
      <c r="K529" s="36" t="s">
        <v>1490</v>
      </c>
      <c r="L529" s="37" t="s">
        <v>17</v>
      </c>
    </row>
    <row r="530" spans="1:12">
      <c r="A530" s="43" t="s">
        <v>1491</v>
      </c>
      <c r="B530" t="s">
        <v>1492</v>
      </c>
      <c r="C530" s="50" t="s">
        <v>14</v>
      </c>
      <c r="D530" s="37" t="s">
        <v>15</v>
      </c>
      <c r="E530" s="37" t="s">
        <v>16</v>
      </c>
      <c r="F530" s="38">
        <v>46196</v>
      </c>
      <c r="G530" s="39">
        <v>46180</v>
      </c>
      <c r="H530" s="41">
        <v>7.39</v>
      </c>
      <c r="I530" s="54"/>
      <c r="J530" s="39">
        <v>46199</v>
      </c>
      <c r="L530" s="37" t="s">
        <v>17</v>
      </c>
    </row>
    <row r="531" spans="1:12">
      <c r="A531" s="43" t="s">
        <v>95</v>
      </c>
      <c r="B531" t="s">
        <v>96</v>
      </c>
      <c r="C531" s="50" t="s">
        <v>14</v>
      </c>
      <c r="D531" s="37" t="s">
        <v>15</v>
      </c>
      <c r="E531" s="37" t="s">
        <v>58</v>
      </c>
      <c r="F531" s="38">
        <v>46202</v>
      </c>
      <c r="G531" s="39">
        <v>46180</v>
      </c>
      <c r="H531" s="41">
        <v>109.99</v>
      </c>
      <c r="I531" s="54">
        <v>44.7</v>
      </c>
      <c r="J531" s="39">
        <v>46176</v>
      </c>
      <c r="K531" s="36" t="s">
        <v>1493</v>
      </c>
      <c r="L531" s="37" t="s">
        <v>17</v>
      </c>
    </row>
    <row r="532" spans="1:12">
      <c r="A532" s="43" t="s">
        <v>1494</v>
      </c>
      <c r="B532" t="s">
        <v>1495</v>
      </c>
      <c r="C532" s="50" t="s">
        <v>14</v>
      </c>
      <c r="D532" s="37" t="s">
        <v>15</v>
      </c>
      <c r="E532" s="37" t="s">
        <v>16</v>
      </c>
      <c r="F532" s="38">
        <v>46196</v>
      </c>
      <c r="G532" s="39">
        <v>46180</v>
      </c>
      <c r="H532" s="41">
        <v>7.39</v>
      </c>
      <c r="I532" s="54"/>
      <c r="J532" s="39">
        <v>46199</v>
      </c>
      <c r="L532" s="37" t="s">
        <v>17</v>
      </c>
    </row>
    <row r="533" spans="1:12">
      <c r="A533" s="43" t="s">
        <v>1496</v>
      </c>
      <c r="B533" t="s">
        <v>1497</v>
      </c>
      <c r="C533" s="50" t="s">
        <v>14</v>
      </c>
      <c r="D533" s="37" t="s">
        <v>15</v>
      </c>
      <c r="E533" s="37" t="s">
        <v>55</v>
      </c>
      <c r="F533" s="38">
        <v>46205</v>
      </c>
      <c r="G533" s="39">
        <v>46180</v>
      </c>
      <c r="H533" s="41">
        <v>109.99</v>
      </c>
      <c r="I533" s="54">
        <v>22.57</v>
      </c>
      <c r="J533" s="39">
        <v>46202</v>
      </c>
      <c r="K533" s="36" t="s">
        <v>1498</v>
      </c>
      <c r="L533" s="37" t="s">
        <v>17</v>
      </c>
    </row>
    <row r="534" spans="1:12">
      <c r="A534" s="43" t="s">
        <v>1499</v>
      </c>
      <c r="B534" t="s">
        <v>1500</v>
      </c>
      <c r="C534" s="50" t="s">
        <v>14</v>
      </c>
      <c r="D534" s="37" t="s">
        <v>15</v>
      </c>
      <c r="E534" s="37" t="s">
        <v>55</v>
      </c>
      <c r="F534" s="38">
        <v>46205</v>
      </c>
      <c r="G534" s="39">
        <v>46180</v>
      </c>
      <c r="H534" s="41">
        <v>109.99</v>
      </c>
      <c r="I534" s="54">
        <v>44.57</v>
      </c>
      <c r="J534" s="39">
        <v>46202</v>
      </c>
      <c r="K534" s="36" t="s">
        <v>1501</v>
      </c>
      <c r="L534" s="37" t="s">
        <v>17</v>
      </c>
    </row>
    <row r="535" spans="1:12">
      <c r="A535" s="43" t="s">
        <v>91</v>
      </c>
      <c r="B535" t="s">
        <v>92</v>
      </c>
      <c r="C535" s="50" t="s">
        <v>14</v>
      </c>
      <c r="D535" s="37" t="s">
        <v>15</v>
      </c>
      <c r="E535" s="37" t="s">
        <v>55</v>
      </c>
      <c r="F535" s="38">
        <v>46198</v>
      </c>
      <c r="G535" s="39">
        <v>46180</v>
      </c>
      <c r="H535" s="41">
        <v>109.99</v>
      </c>
      <c r="I535" s="54">
        <v>22.29</v>
      </c>
      <c r="J535" s="39">
        <v>46203</v>
      </c>
      <c r="K535" s="36" t="s">
        <v>1502</v>
      </c>
      <c r="L535" s="37" t="s">
        <v>17</v>
      </c>
    </row>
    <row r="536" spans="1:12">
      <c r="A536" s="43" t="s">
        <v>118</v>
      </c>
      <c r="B536" t="s">
        <v>119</v>
      </c>
      <c r="C536" s="50" t="s">
        <v>14</v>
      </c>
      <c r="D536" s="37" t="s">
        <v>15</v>
      </c>
      <c r="E536" s="37" t="s">
        <v>55</v>
      </c>
      <c r="F536" s="38">
        <v>46198</v>
      </c>
      <c r="G536" s="39">
        <v>46180</v>
      </c>
      <c r="H536" s="41">
        <v>87.36</v>
      </c>
      <c r="I536" s="54">
        <v>40.1</v>
      </c>
      <c r="J536" s="39">
        <v>46203</v>
      </c>
      <c r="K536" s="36" t="s">
        <v>1503</v>
      </c>
      <c r="L536" s="37" t="s">
        <v>17</v>
      </c>
    </row>
    <row r="537" spans="1:12">
      <c r="A537" s="43" t="s">
        <v>1504</v>
      </c>
      <c r="B537" t="s">
        <v>1505</v>
      </c>
      <c r="C537" s="50" t="s">
        <v>14</v>
      </c>
      <c r="D537" s="37" t="s">
        <v>15</v>
      </c>
      <c r="E537" s="37" t="s">
        <v>55</v>
      </c>
      <c r="F537" s="38">
        <v>46198</v>
      </c>
      <c r="G537" s="39">
        <v>46180</v>
      </c>
      <c r="H537" s="41">
        <v>109.99</v>
      </c>
      <c r="I537" s="54">
        <v>30</v>
      </c>
      <c r="J537" s="39">
        <v>46203</v>
      </c>
      <c r="K537" s="36" t="s">
        <v>1506</v>
      </c>
      <c r="L537" s="37" t="s">
        <v>17</v>
      </c>
    </row>
    <row r="538" spans="1:12">
      <c r="A538" s="43" t="s">
        <v>1507</v>
      </c>
      <c r="B538" t="s">
        <v>1508</v>
      </c>
      <c r="C538" s="50" t="s">
        <v>14</v>
      </c>
      <c r="D538" s="37" t="s">
        <v>15</v>
      </c>
      <c r="E538" s="37" t="s">
        <v>55</v>
      </c>
      <c r="F538" s="38">
        <v>46198</v>
      </c>
      <c r="G538" s="39">
        <v>46180</v>
      </c>
      <c r="H538" s="41">
        <v>112.48</v>
      </c>
      <c r="I538" s="54">
        <v>45.66</v>
      </c>
      <c r="J538" s="39">
        <v>46202</v>
      </c>
      <c r="K538" s="36" t="s">
        <v>1509</v>
      </c>
      <c r="L538" s="37" t="s">
        <v>17</v>
      </c>
    </row>
    <row r="539" spans="1:12">
      <c r="A539" s="43" t="s">
        <v>1510</v>
      </c>
      <c r="B539" t="s">
        <v>1511</v>
      </c>
      <c r="C539" s="50" t="s">
        <v>14</v>
      </c>
      <c r="D539" s="37" t="s">
        <v>15</v>
      </c>
      <c r="E539" s="37" t="s">
        <v>58</v>
      </c>
      <c r="F539" s="38">
        <v>46198</v>
      </c>
      <c r="G539" s="39">
        <v>46180</v>
      </c>
      <c r="H539" s="41">
        <v>109.99</v>
      </c>
      <c r="I539" s="54">
        <v>35</v>
      </c>
      <c r="J539" s="39">
        <v>46203</v>
      </c>
      <c r="K539" s="36" t="s">
        <v>1512</v>
      </c>
      <c r="L539" s="37" t="s">
        <v>17</v>
      </c>
    </row>
    <row r="540" spans="1:12">
      <c r="A540" s="43" t="s">
        <v>1513</v>
      </c>
      <c r="B540" t="s">
        <v>1514</v>
      </c>
      <c r="C540" s="50" t="s">
        <v>14</v>
      </c>
      <c r="D540" s="37" t="s">
        <v>15</v>
      </c>
      <c r="E540" s="37" t="s">
        <v>16</v>
      </c>
      <c r="F540" s="38">
        <v>46196</v>
      </c>
      <c r="G540" s="39">
        <v>46180</v>
      </c>
      <c r="H540" s="41">
        <v>42.55</v>
      </c>
      <c r="I540" s="54"/>
      <c r="J540" s="39">
        <v>46199</v>
      </c>
      <c r="L540" s="37" t="s">
        <v>17</v>
      </c>
    </row>
    <row r="541" spans="1:12">
      <c r="A541" s="43" t="s">
        <v>1515</v>
      </c>
      <c r="B541" t="s">
        <v>1516</v>
      </c>
      <c r="C541" s="50" t="s">
        <v>14</v>
      </c>
      <c r="D541" s="37" t="s">
        <v>15</v>
      </c>
      <c r="E541" s="37" t="s">
        <v>16</v>
      </c>
      <c r="F541" s="38">
        <v>46196</v>
      </c>
      <c r="G541" s="39">
        <v>46180</v>
      </c>
      <c r="H541" s="41">
        <v>45.03</v>
      </c>
      <c r="I541" s="54"/>
      <c r="J541" s="39">
        <v>46199</v>
      </c>
      <c r="L541" s="37" t="s">
        <v>17</v>
      </c>
    </row>
    <row r="542" spans="1:12">
      <c r="A542" s="43" t="s">
        <v>1517</v>
      </c>
      <c r="B542" t="s">
        <v>1518</v>
      </c>
      <c r="C542" s="50" t="s">
        <v>14</v>
      </c>
      <c r="D542" s="37" t="s">
        <v>15</v>
      </c>
      <c r="E542" s="37" t="s">
        <v>58</v>
      </c>
      <c r="F542" s="38">
        <v>46202</v>
      </c>
      <c r="G542" s="39">
        <v>46180</v>
      </c>
      <c r="H542" s="41">
        <v>129.99</v>
      </c>
      <c r="I542" s="54">
        <v>52.71</v>
      </c>
      <c r="J542" s="39">
        <v>46177</v>
      </c>
      <c r="K542" s="36" t="s">
        <v>1519</v>
      </c>
      <c r="L542" s="37" t="s">
        <v>17</v>
      </c>
    </row>
    <row r="543" spans="1:12">
      <c r="A543" s="43" t="s">
        <v>1520</v>
      </c>
      <c r="B543" t="s">
        <v>1521</v>
      </c>
      <c r="C543" s="50" t="s">
        <v>14</v>
      </c>
      <c r="D543" s="37" t="s">
        <v>15</v>
      </c>
      <c r="E543" s="37" t="s">
        <v>16</v>
      </c>
      <c r="F543" s="38">
        <v>46196</v>
      </c>
      <c r="G543" s="39">
        <v>46180</v>
      </c>
      <c r="H543" s="41">
        <v>24.83</v>
      </c>
      <c r="I543" s="54"/>
      <c r="J543" s="39">
        <v>46199</v>
      </c>
      <c r="L543" s="37" t="s">
        <v>17</v>
      </c>
    </row>
    <row r="544" spans="1:12">
      <c r="A544" s="43" t="s">
        <v>1522</v>
      </c>
      <c r="B544" t="s">
        <v>1523</v>
      </c>
      <c r="C544" s="50" t="s">
        <v>14</v>
      </c>
      <c r="D544" s="37" t="s">
        <v>15</v>
      </c>
      <c r="E544" s="37" t="s">
        <v>20</v>
      </c>
      <c r="F544" s="38">
        <v>46204</v>
      </c>
      <c r="G544" s="39">
        <v>46180</v>
      </c>
      <c r="H544" s="41">
        <v>99.99</v>
      </c>
      <c r="I544" s="54">
        <v>20.28</v>
      </c>
      <c r="J544" s="39">
        <v>46208</v>
      </c>
      <c r="K544" s="36" t="s">
        <v>1524</v>
      </c>
      <c r="L544" s="37" t="s">
        <v>17</v>
      </c>
    </row>
    <row r="545" spans="1:12">
      <c r="A545" s="43" t="s">
        <v>1525</v>
      </c>
      <c r="B545" t="s">
        <v>1526</v>
      </c>
      <c r="C545" s="50" t="s">
        <v>14</v>
      </c>
      <c r="D545" s="37" t="s">
        <v>15</v>
      </c>
      <c r="E545" s="37" t="s">
        <v>20</v>
      </c>
      <c r="F545" s="38">
        <v>46204</v>
      </c>
      <c r="G545" s="39">
        <v>46180</v>
      </c>
      <c r="H545" s="41">
        <v>99.99</v>
      </c>
      <c r="I545" s="54">
        <v>19.809999999999999</v>
      </c>
      <c r="J545" s="39">
        <v>46208</v>
      </c>
      <c r="K545" s="36" t="s">
        <v>1527</v>
      </c>
      <c r="L545" s="37" t="s">
        <v>17</v>
      </c>
    </row>
    <row r="546" spans="1:12">
      <c r="A546" s="43" t="s">
        <v>1528</v>
      </c>
      <c r="B546" t="s">
        <v>1529</v>
      </c>
      <c r="C546" s="50" t="s">
        <v>14</v>
      </c>
      <c r="D546" s="37" t="s">
        <v>15</v>
      </c>
      <c r="E546" s="37" t="s">
        <v>55</v>
      </c>
      <c r="F546" s="38">
        <v>46198</v>
      </c>
      <c r="G546" s="39">
        <v>46180</v>
      </c>
      <c r="H546" s="41">
        <v>58.7</v>
      </c>
      <c r="I546" s="54">
        <v>34.04</v>
      </c>
      <c r="J546" s="39">
        <v>46203</v>
      </c>
      <c r="K546" s="36" t="s">
        <v>1530</v>
      </c>
      <c r="L546" s="37" t="s">
        <v>17</v>
      </c>
    </row>
    <row r="547" spans="1:12">
      <c r="A547" s="43" t="s">
        <v>1531</v>
      </c>
      <c r="B547" t="s">
        <v>1532</v>
      </c>
      <c r="C547" s="50" t="s">
        <v>14</v>
      </c>
      <c r="D547" s="37" t="s">
        <v>15</v>
      </c>
      <c r="E547" s="37" t="s">
        <v>20</v>
      </c>
      <c r="F547" s="38">
        <v>46199</v>
      </c>
      <c r="G547" s="39">
        <v>46180</v>
      </c>
      <c r="H547" s="41">
        <v>109.99</v>
      </c>
      <c r="I547" s="54">
        <v>22.29</v>
      </c>
      <c r="J547" s="39">
        <v>46202</v>
      </c>
      <c r="K547" s="36" t="s">
        <v>1533</v>
      </c>
      <c r="L547" s="37" t="s">
        <v>17</v>
      </c>
    </row>
    <row r="548" spans="1:12">
      <c r="A548" s="43" t="s">
        <v>1534</v>
      </c>
      <c r="B548" t="s">
        <v>1535</v>
      </c>
      <c r="C548" s="50" t="s">
        <v>14</v>
      </c>
      <c r="D548" s="37" t="s">
        <v>15</v>
      </c>
      <c r="E548" s="37" t="s">
        <v>20</v>
      </c>
      <c r="F548" s="38">
        <v>46199</v>
      </c>
      <c r="G548" s="39">
        <v>46180</v>
      </c>
      <c r="H548" s="41">
        <v>109.78</v>
      </c>
      <c r="I548" s="54">
        <v>22.57</v>
      </c>
      <c r="J548" s="39">
        <v>46202</v>
      </c>
      <c r="K548" s="36" t="s">
        <v>1536</v>
      </c>
      <c r="L548" s="37" t="s">
        <v>17</v>
      </c>
    </row>
    <row r="549" spans="1:12">
      <c r="A549" s="43" t="s">
        <v>1537</v>
      </c>
      <c r="B549" t="s">
        <v>1538</v>
      </c>
      <c r="C549" s="50" t="s">
        <v>14</v>
      </c>
      <c r="D549" s="37" t="s">
        <v>15</v>
      </c>
      <c r="E549" s="37" t="s">
        <v>20</v>
      </c>
      <c r="F549" s="38">
        <v>46199</v>
      </c>
      <c r="G549" s="39">
        <v>46180</v>
      </c>
      <c r="H549" s="41">
        <v>73.36</v>
      </c>
      <c r="I549" s="54">
        <v>18.53</v>
      </c>
      <c r="J549" s="39">
        <v>46202</v>
      </c>
      <c r="K549" s="36" t="s">
        <v>1539</v>
      </c>
      <c r="L549" s="37" t="s">
        <v>17</v>
      </c>
    </row>
    <row r="550" spans="1:12">
      <c r="A550" s="43" t="s">
        <v>1540</v>
      </c>
      <c r="B550" t="s">
        <v>108</v>
      </c>
      <c r="C550" s="50" t="s">
        <v>14</v>
      </c>
      <c r="D550" s="37" t="s">
        <v>15</v>
      </c>
      <c r="E550" s="37" t="s">
        <v>20</v>
      </c>
      <c r="F550" s="38">
        <v>46199</v>
      </c>
      <c r="G550" s="39">
        <v>46180</v>
      </c>
      <c r="H550" s="41">
        <v>109.99</v>
      </c>
      <c r="I550" s="54">
        <v>22.35</v>
      </c>
      <c r="J550" s="39">
        <v>46202</v>
      </c>
      <c r="K550" s="36" t="s">
        <v>1541</v>
      </c>
      <c r="L550" s="37" t="s">
        <v>17</v>
      </c>
    </row>
    <row r="551" spans="1:12">
      <c r="A551" s="43" t="s">
        <v>1542</v>
      </c>
      <c r="B551" t="s">
        <v>1543</v>
      </c>
      <c r="C551" s="50" t="s">
        <v>14</v>
      </c>
      <c r="D551" s="37" t="s">
        <v>15</v>
      </c>
      <c r="E551" s="37" t="s">
        <v>20</v>
      </c>
      <c r="F551" s="38">
        <v>46199</v>
      </c>
      <c r="G551" s="39">
        <v>46180</v>
      </c>
      <c r="H551" s="41">
        <v>77.05</v>
      </c>
      <c r="I551" s="54">
        <v>18.91</v>
      </c>
      <c r="J551" s="39">
        <v>46202</v>
      </c>
      <c r="K551" s="36" t="s">
        <v>1544</v>
      </c>
      <c r="L551" s="37" t="s">
        <v>17</v>
      </c>
    </row>
    <row r="552" spans="1:12">
      <c r="A552" s="43" t="s">
        <v>1545</v>
      </c>
      <c r="B552" t="s">
        <v>1546</v>
      </c>
      <c r="C552" s="50" t="s">
        <v>14</v>
      </c>
      <c r="D552" s="37" t="s">
        <v>15</v>
      </c>
      <c r="E552" s="37" t="s">
        <v>20</v>
      </c>
      <c r="F552" s="38">
        <v>46199</v>
      </c>
      <c r="G552" s="39">
        <v>46180</v>
      </c>
      <c r="H552" s="41">
        <v>109.99</v>
      </c>
      <c r="I552" s="54">
        <v>41.93</v>
      </c>
      <c r="J552" s="39">
        <v>46202</v>
      </c>
      <c r="K552" s="36" t="s">
        <v>1547</v>
      </c>
      <c r="L552" s="37" t="s">
        <v>17</v>
      </c>
    </row>
    <row r="553" spans="1:12">
      <c r="A553" s="43" t="s">
        <v>1548</v>
      </c>
      <c r="B553" s="36" t="s">
        <v>1549</v>
      </c>
      <c r="C553" s="50" t="s">
        <v>14</v>
      </c>
      <c r="D553" s="37" t="s">
        <v>15</v>
      </c>
      <c r="E553" s="37" t="s">
        <v>16</v>
      </c>
      <c r="F553" s="38">
        <v>46202</v>
      </c>
      <c r="G553" s="39">
        <v>46183</v>
      </c>
      <c r="H553" s="41">
        <v>26.06</v>
      </c>
      <c r="I553" s="41"/>
      <c r="J553" s="39">
        <v>46206</v>
      </c>
      <c r="L553" s="37" t="s">
        <v>17</v>
      </c>
    </row>
    <row r="554" spans="1:12">
      <c r="A554" s="43" t="s">
        <v>1550</v>
      </c>
      <c r="B554" s="36" t="s">
        <v>1551</v>
      </c>
      <c r="C554" s="50" t="s">
        <v>14</v>
      </c>
      <c r="D554" s="37" t="s">
        <v>15</v>
      </c>
      <c r="E554" s="37" t="s">
        <v>23</v>
      </c>
      <c r="F554" s="38">
        <v>46202</v>
      </c>
      <c r="G554" s="39">
        <v>46183</v>
      </c>
      <c r="H554" s="41">
        <v>132.76</v>
      </c>
      <c r="I554" s="41">
        <v>53.87</v>
      </c>
      <c r="J554" s="39">
        <v>46206</v>
      </c>
      <c r="K554" s="36" t="s">
        <v>1552</v>
      </c>
      <c r="L554" s="37" t="s">
        <v>17</v>
      </c>
    </row>
    <row r="555" spans="1:12">
      <c r="A555" s="43" t="s">
        <v>1553</v>
      </c>
      <c r="B555" s="36" t="s">
        <v>1554</v>
      </c>
      <c r="C555" s="50" t="s">
        <v>14</v>
      </c>
      <c r="D555" s="37" t="s">
        <v>15</v>
      </c>
      <c r="E555" s="37" t="s">
        <v>62</v>
      </c>
      <c r="F555" s="38">
        <v>46204</v>
      </c>
      <c r="G555" s="39">
        <v>46183</v>
      </c>
      <c r="H555" s="41">
        <v>109.82</v>
      </c>
      <c r="I555" s="41">
        <v>22.56</v>
      </c>
      <c r="J555" s="39">
        <v>46207</v>
      </c>
      <c r="K555" s="36" t="s">
        <v>1555</v>
      </c>
      <c r="L555" s="37" t="s">
        <v>17</v>
      </c>
    </row>
    <row r="556" spans="1:12">
      <c r="A556" s="43" t="s">
        <v>469</v>
      </c>
      <c r="B556" s="36" t="s">
        <v>1556</v>
      </c>
      <c r="C556" s="50" t="s">
        <v>14</v>
      </c>
      <c r="D556" s="37" t="s">
        <v>15</v>
      </c>
      <c r="E556" s="37" t="s">
        <v>62</v>
      </c>
      <c r="F556" s="38">
        <v>46202</v>
      </c>
      <c r="G556" s="39">
        <v>46183</v>
      </c>
      <c r="H556" s="41">
        <v>112.29</v>
      </c>
      <c r="I556" s="41">
        <v>67.67</v>
      </c>
      <c r="J556" s="39">
        <v>46206</v>
      </c>
      <c r="K556" s="36" t="s">
        <v>1557</v>
      </c>
      <c r="L556" s="37" t="s">
        <v>17</v>
      </c>
    </row>
    <row r="557" spans="1:12">
      <c r="A557" s="43" t="s">
        <v>171</v>
      </c>
      <c r="B557" s="36" t="s">
        <v>172</v>
      </c>
      <c r="C557" s="50" t="s">
        <v>14</v>
      </c>
      <c r="D557" s="37" t="s">
        <v>15</v>
      </c>
      <c r="E557" s="37" t="s">
        <v>55</v>
      </c>
      <c r="F557" s="38">
        <v>46202</v>
      </c>
      <c r="G557" s="39">
        <v>46183</v>
      </c>
      <c r="H557" s="41">
        <v>109.99</v>
      </c>
      <c r="I557" s="41">
        <v>51.8</v>
      </c>
      <c r="J557" s="39">
        <v>46176</v>
      </c>
      <c r="K557" s="36" t="s">
        <v>1558</v>
      </c>
      <c r="L557" s="37" t="s">
        <v>17</v>
      </c>
    </row>
    <row r="558" spans="1:12">
      <c r="A558" s="43" t="s">
        <v>1559</v>
      </c>
      <c r="B558" s="36" t="s">
        <v>1560</v>
      </c>
      <c r="C558" s="50" t="s">
        <v>14</v>
      </c>
      <c r="D558" s="37" t="s">
        <v>15</v>
      </c>
      <c r="E558" s="37" t="s">
        <v>23</v>
      </c>
      <c r="F558" s="38">
        <v>46205</v>
      </c>
      <c r="G558" s="39">
        <v>46183</v>
      </c>
      <c r="H558" s="41">
        <v>109.99</v>
      </c>
      <c r="I558" s="41">
        <v>80.650000000000006</v>
      </c>
      <c r="J558" s="39">
        <v>46210</v>
      </c>
      <c r="K558" s="36" t="s">
        <v>1561</v>
      </c>
      <c r="L558" s="37" t="s">
        <v>17</v>
      </c>
    </row>
    <row r="559" spans="1:12">
      <c r="A559" s="43" t="s">
        <v>1562</v>
      </c>
      <c r="B559" s="36" t="s">
        <v>1563</v>
      </c>
      <c r="C559" s="50" t="s">
        <v>14</v>
      </c>
      <c r="D559" s="37" t="s">
        <v>15</v>
      </c>
      <c r="E559" s="37" t="s">
        <v>62</v>
      </c>
      <c r="F559" s="38">
        <v>46202</v>
      </c>
      <c r="G559" s="39">
        <v>46183</v>
      </c>
      <c r="H559" s="41">
        <v>112.59</v>
      </c>
      <c r="I559" s="41">
        <v>45.76</v>
      </c>
      <c r="J559" s="39" t="s">
        <v>1564</v>
      </c>
      <c r="K559" s="36" t="s">
        <v>1565</v>
      </c>
      <c r="L559" s="37" t="s">
        <v>17</v>
      </c>
    </row>
    <row r="560" spans="1:12">
      <c r="A560" s="43" t="s">
        <v>1566</v>
      </c>
      <c r="B560" s="36" t="s">
        <v>1567</v>
      </c>
      <c r="C560" s="50" t="s">
        <v>14</v>
      </c>
      <c r="D560" s="37" t="s">
        <v>15</v>
      </c>
      <c r="E560" s="37" t="s">
        <v>55</v>
      </c>
      <c r="F560" s="38">
        <v>46204</v>
      </c>
      <c r="G560" s="39">
        <v>46183</v>
      </c>
      <c r="H560" s="41">
        <v>44.04</v>
      </c>
      <c r="I560" s="41">
        <v>30.83</v>
      </c>
      <c r="J560" s="39">
        <v>46208</v>
      </c>
      <c r="K560" s="36" t="s">
        <v>1568</v>
      </c>
      <c r="L560" s="37" t="s">
        <v>17</v>
      </c>
    </row>
    <row r="561" spans="1:12">
      <c r="A561" s="43" t="s">
        <v>1569</v>
      </c>
      <c r="B561" s="36" t="s">
        <v>1570</v>
      </c>
      <c r="C561" s="50" t="s">
        <v>14</v>
      </c>
      <c r="D561" s="37" t="s">
        <v>15</v>
      </c>
      <c r="E561" s="37" t="s">
        <v>58</v>
      </c>
      <c r="F561" s="38">
        <v>46202</v>
      </c>
      <c r="G561" s="39">
        <v>46183</v>
      </c>
      <c r="H561" s="41">
        <v>111.26</v>
      </c>
      <c r="I561" s="41">
        <v>45.43</v>
      </c>
      <c r="J561" s="39">
        <v>46206</v>
      </c>
      <c r="K561" s="36" t="s">
        <v>1571</v>
      </c>
      <c r="L561" s="37" t="s">
        <v>17</v>
      </c>
    </row>
    <row r="562" spans="1:12">
      <c r="A562" s="43" t="s">
        <v>1572</v>
      </c>
      <c r="B562" s="36" t="s">
        <v>1573</v>
      </c>
      <c r="C562" s="50" t="s">
        <v>14</v>
      </c>
      <c r="D562" s="37" t="s">
        <v>15</v>
      </c>
      <c r="E562" s="37" t="s">
        <v>55</v>
      </c>
      <c r="F562" s="38">
        <v>46202</v>
      </c>
      <c r="G562" s="39">
        <v>46183</v>
      </c>
      <c r="H562" s="41">
        <v>113.01</v>
      </c>
      <c r="I562" s="41">
        <v>22.87</v>
      </c>
      <c r="J562" s="39">
        <v>46176</v>
      </c>
      <c r="K562" s="36" t="s">
        <v>1574</v>
      </c>
      <c r="L562" s="37" t="s">
        <v>17</v>
      </c>
    </row>
    <row r="563" spans="1:12">
      <c r="A563" s="43" t="s">
        <v>1575</v>
      </c>
      <c r="B563" s="36" t="s">
        <v>1576</v>
      </c>
      <c r="C563" s="50" t="s">
        <v>14</v>
      </c>
      <c r="D563" s="37" t="s">
        <v>15</v>
      </c>
      <c r="E563" s="37" t="s">
        <v>23</v>
      </c>
      <c r="F563" s="38">
        <v>46202</v>
      </c>
      <c r="G563" s="39">
        <v>46183</v>
      </c>
      <c r="H563" s="41">
        <v>69.7</v>
      </c>
      <c r="I563" s="41">
        <v>36.31</v>
      </c>
      <c r="J563" s="39">
        <v>46206</v>
      </c>
      <c r="K563" s="36" t="s">
        <v>1577</v>
      </c>
      <c r="L563" s="37" t="s">
        <v>17</v>
      </c>
    </row>
    <row r="564" spans="1:12">
      <c r="A564" s="43" t="s">
        <v>132</v>
      </c>
      <c r="B564" s="36" t="s">
        <v>133</v>
      </c>
      <c r="C564" s="50" t="s">
        <v>14</v>
      </c>
      <c r="D564" s="37" t="s">
        <v>15</v>
      </c>
      <c r="E564" s="37" t="s">
        <v>58</v>
      </c>
      <c r="F564" s="38">
        <v>46202</v>
      </c>
      <c r="G564" s="39">
        <v>46183</v>
      </c>
      <c r="H564" s="41">
        <v>109.99</v>
      </c>
      <c r="I564" s="41">
        <v>62.03</v>
      </c>
      <c r="J564" s="39">
        <v>46207</v>
      </c>
      <c r="K564" s="36" t="s">
        <v>1578</v>
      </c>
      <c r="L564" s="37" t="s">
        <v>17</v>
      </c>
    </row>
    <row r="565" spans="1:12">
      <c r="A565" s="43" t="s">
        <v>1579</v>
      </c>
      <c r="B565" s="36" t="s">
        <v>1580</v>
      </c>
      <c r="C565" s="50" t="s">
        <v>14</v>
      </c>
      <c r="D565" s="37" t="s">
        <v>15</v>
      </c>
      <c r="E565" s="37" t="s">
        <v>23</v>
      </c>
      <c r="F565" s="38">
        <v>46202</v>
      </c>
      <c r="G565" s="39">
        <v>46183</v>
      </c>
      <c r="H565" s="41">
        <v>51.39</v>
      </c>
      <c r="I565" s="41">
        <v>32.549999999999997</v>
      </c>
      <c r="J565" s="39">
        <v>46206</v>
      </c>
      <c r="K565" s="36" t="s">
        <v>1581</v>
      </c>
      <c r="L565" s="37" t="s">
        <v>17</v>
      </c>
    </row>
    <row r="566" spans="1:12">
      <c r="A566" s="43" t="s">
        <v>1582</v>
      </c>
      <c r="B566" s="36" t="s">
        <v>1583</v>
      </c>
      <c r="C566" s="50" t="s">
        <v>14</v>
      </c>
      <c r="D566" s="37" t="s">
        <v>15</v>
      </c>
      <c r="E566" s="37" t="s">
        <v>169</v>
      </c>
      <c r="F566" s="38">
        <v>46202</v>
      </c>
      <c r="G566" s="39">
        <v>46183</v>
      </c>
      <c r="H566" s="41">
        <v>112.5</v>
      </c>
      <c r="I566" s="41">
        <v>45.65</v>
      </c>
      <c r="J566" s="39">
        <v>45841</v>
      </c>
      <c r="K566" s="36" t="s">
        <v>1584</v>
      </c>
      <c r="L566" s="37" t="s">
        <v>17</v>
      </c>
    </row>
    <row r="567" spans="1:12">
      <c r="A567" s="43" t="s">
        <v>1585</v>
      </c>
      <c r="B567" s="36" t="s">
        <v>1586</v>
      </c>
      <c r="C567" s="50" t="s">
        <v>14</v>
      </c>
      <c r="D567" s="37" t="s">
        <v>15</v>
      </c>
      <c r="E567" s="37" t="s">
        <v>55</v>
      </c>
      <c r="F567" s="38">
        <v>46202</v>
      </c>
      <c r="G567" s="39">
        <v>46183</v>
      </c>
      <c r="H567" s="41">
        <v>99.99</v>
      </c>
      <c r="I567" s="41">
        <v>35</v>
      </c>
      <c r="J567" s="39" t="s">
        <v>1587</v>
      </c>
      <c r="K567" s="36" t="s">
        <v>1588</v>
      </c>
      <c r="L567" s="37" t="s">
        <v>17</v>
      </c>
    </row>
    <row r="568" spans="1:12">
      <c r="A568" s="43" t="s">
        <v>1589</v>
      </c>
      <c r="B568" s="36" t="s">
        <v>1590</v>
      </c>
      <c r="C568" s="50" t="s">
        <v>14</v>
      </c>
      <c r="D568" s="37" t="s">
        <v>15</v>
      </c>
      <c r="E568" s="37" t="s">
        <v>55</v>
      </c>
      <c r="F568" s="38">
        <v>46202</v>
      </c>
      <c r="G568" s="39">
        <v>46183</v>
      </c>
      <c r="H568" s="41">
        <v>99.99</v>
      </c>
      <c r="I568" s="41">
        <v>30.41</v>
      </c>
      <c r="J568" s="39">
        <v>46207</v>
      </c>
      <c r="K568" s="36" t="s">
        <v>1591</v>
      </c>
      <c r="L568" s="37" t="s">
        <v>17</v>
      </c>
    </row>
    <row r="569" spans="1:12">
      <c r="A569" s="43" t="s">
        <v>130</v>
      </c>
      <c r="B569" s="36" t="s">
        <v>131</v>
      </c>
      <c r="C569" s="50" t="s">
        <v>14</v>
      </c>
      <c r="D569" s="37" t="s">
        <v>15</v>
      </c>
      <c r="E569" s="37" t="s">
        <v>55</v>
      </c>
      <c r="F569" s="38">
        <v>46204</v>
      </c>
      <c r="G569" s="39">
        <v>46183</v>
      </c>
      <c r="H569" s="41">
        <v>108.18</v>
      </c>
      <c r="I569" s="41">
        <v>44.37</v>
      </c>
      <c r="J569" s="39" t="s">
        <v>1592</v>
      </c>
      <c r="K569" s="36" t="s">
        <v>1593</v>
      </c>
      <c r="L569" s="37" t="s">
        <v>17</v>
      </c>
    </row>
    <row r="570" spans="1:12">
      <c r="A570" s="43" t="s">
        <v>1594</v>
      </c>
      <c r="B570" s="36" t="s">
        <v>1595</v>
      </c>
      <c r="C570" s="50" t="s">
        <v>14</v>
      </c>
      <c r="D570" s="37" t="s">
        <v>15</v>
      </c>
      <c r="E570" s="37" t="s">
        <v>55</v>
      </c>
      <c r="F570" s="38">
        <v>46202</v>
      </c>
      <c r="G570" s="39">
        <v>46183</v>
      </c>
      <c r="H570" s="41">
        <v>109.99</v>
      </c>
      <c r="I570" s="41">
        <v>33.44</v>
      </c>
      <c r="J570" s="39">
        <v>46207</v>
      </c>
      <c r="K570" s="36" t="s">
        <v>1596</v>
      </c>
      <c r="L570" s="37" t="s">
        <v>17</v>
      </c>
    </row>
    <row r="571" spans="1:12">
      <c r="A571" s="43" t="s">
        <v>1597</v>
      </c>
      <c r="B571" s="36" t="s">
        <v>1598</v>
      </c>
      <c r="C571" s="50" t="s">
        <v>14</v>
      </c>
      <c r="D571" s="37" t="s">
        <v>15</v>
      </c>
      <c r="E571" s="37" t="s">
        <v>55</v>
      </c>
      <c r="F571" s="38">
        <v>46205</v>
      </c>
      <c r="G571" s="39">
        <v>46183</v>
      </c>
      <c r="H571" s="41">
        <v>109.78</v>
      </c>
      <c r="I571" s="41">
        <v>33.42</v>
      </c>
      <c r="J571" s="39">
        <v>46211</v>
      </c>
      <c r="K571" s="36" t="s">
        <v>1599</v>
      </c>
      <c r="L571" s="37" t="s">
        <v>17</v>
      </c>
    </row>
    <row r="572" spans="1:12">
      <c r="A572" s="43" t="s">
        <v>1600</v>
      </c>
      <c r="B572" s="36" t="s">
        <v>1601</v>
      </c>
      <c r="C572" s="50" t="s">
        <v>14</v>
      </c>
      <c r="D572" s="37" t="s">
        <v>783</v>
      </c>
      <c r="F572" s="38">
        <v>46218</v>
      </c>
      <c r="G572" s="39">
        <v>46183</v>
      </c>
      <c r="H572" s="41">
        <v>77.05</v>
      </c>
      <c r="I572" s="41"/>
      <c r="L572" s="37" t="s">
        <v>784</v>
      </c>
    </row>
    <row r="573" spans="1:12">
      <c r="A573" s="43" t="s">
        <v>1602</v>
      </c>
      <c r="B573" s="36" t="s">
        <v>1603</v>
      </c>
      <c r="C573" s="50" t="s">
        <v>14</v>
      </c>
      <c r="D573" s="37" t="s">
        <v>15</v>
      </c>
      <c r="E573" s="37" t="s">
        <v>55</v>
      </c>
      <c r="F573" s="38">
        <v>46205</v>
      </c>
      <c r="G573" s="39">
        <v>46183</v>
      </c>
      <c r="H573" s="41">
        <v>109.99</v>
      </c>
      <c r="I573" s="41">
        <v>33.49</v>
      </c>
      <c r="J573" s="39">
        <v>46210</v>
      </c>
      <c r="K573" s="36" t="s">
        <v>1604</v>
      </c>
      <c r="L573" s="37" t="s">
        <v>17</v>
      </c>
    </row>
    <row r="574" spans="1:12">
      <c r="A574" s="43" t="s">
        <v>1605</v>
      </c>
      <c r="B574" s="36" t="s">
        <v>1606</v>
      </c>
      <c r="C574" s="50" t="s">
        <v>14</v>
      </c>
      <c r="D574" s="37" t="s">
        <v>15</v>
      </c>
      <c r="E574" s="37" t="s">
        <v>58</v>
      </c>
      <c r="F574" s="38">
        <v>46205</v>
      </c>
      <c r="G574" s="39">
        <v>46183</v>
      </c>
      <c r="H574" s="41">
        <v>109.99</v>
      </c>
      <c r="I574" s="41">
        <v>44.93</v>
      </c>
      <c r="J574" s="39">
        <v>46209</v>
      </c>
      <c r="K574" s="36" t="s">
        <v>1607</v>
      </c>
      <c r="L574" s="37" t="s">
        <v>17</v>
      </c>
    </row>
    <row r="575" spans="1:12">
      <c r="A575" s="43" t="s">
        <v>1608</v>
      </c>
      <c r="B575" s="36" t="s">
        <v>1609</v>
      </c>
      <c r="C575" s="50" t="s">
        <v>14</v>
      </c>
      <c r="D575" s="37" t="s">
        <v>15</v>
      </c>
      <c r="E575" s="37" t="s">
        <v>55</v>
      </c>
      <c r="F575" s="38">
        <v>46205</v>
      </c>
      <c r="G575" s="39">
        <v>46183</v>
      </c>
      <c r="H575" s="41">
        <v>111.52</v>
      </c>
      <c r="I575" s="41">
        <v>34.68</v>
      </c>
      <c r="J575" s="39">
        <v>46211</v>
      </c>
      <c r="K575" s="36" t="s">
        <v>1610</v>
      </c>
      <c r="L575" s="37" t="s">
        <v>17</v>
      </c>
    </row>
    <row r="576" spans="1:12">
      <c r="A576" s="43" t="s">
        <v>1611</v>
      </c>
      <c r="B576" s="36" t="s">
        <v>1612</v>
      </c>
      <c r="C576" s="50" t="s">
        <v>14</v>
      </c>
      <c r="D576" s="37" t="s">
        <v>15</v>
      </c>
      <c r="E576" s="37" t="s">
        <v>55</v>
      </c>
      <c r="F576" s="38">
        <v>46205</v>
      </c>
      <c r="G576" s="39">
        <v>46183</v>
      </c>
      <c r="H576" s="41">
        <v>99.99</v>
      </c>
      <c r="I576" s="41">
        <v>40.54</v>
      </c>
      <c r="J576" s="39">
        <v>46210</v>
      </c>
      <c r="K576" s="36" t="s">
        <v>1613</v>
      </c>
      <c r="L576" s="37" t="s">
        <v>17</v>
      </c>
    </row>
    <row r="577" spans="1:12">
      <c r="A577" s="43" t="s">
        <v>1614</v>
      </c>
      <c r="B577" s="36" t="s">
        <v>1615</v>
      </c>
      <c r="C577" s="50" t="s">
        <v>14</v>
      </c>
      <c r="D577" s="37" t="s">
        <v>15</v>
      </c>
      <c r="E577" s="37" t="s">
        <v>55</v>
      </c>
      <c r="F577" s="38">
        <v>46204</v>
      </c>
      <c r="G577" s="39">
        <v>46183</v>
      </c>
      <c r="H577" s="41">
        <v>109.99</v>
      </c>
      <c r="I577" s="41">
        <v>39.61</v>
      </c>
      <c r="J577" s="39">
        <v>46208</v>
      </c>
      <c r="K577" s="36" t="s">
        <v>1616</v>
      </c>
      <c r="L577" s="37" t="s">
        <v>17</v>
      </c>
    </row>
    <row r="578" spans="1:12">
      <c r="A578" s="43" t="s">
        <v>1617</v>
      </c>
      <c r="B578" s="36" t="s">
        <v>1618</v>
      </c>
      <c r="C578" s="50" t="s">
        <v>14</v>
      </c>
      <c r="D578" s="37" t="s">
        <v>15</v>
      </c>
      <c r="E578" s="37" t="s">
        <v>16</v>
      </c>
      <c r="F578" s="38">
        <v>46202</v>
      </c>
      <c r="G578" s="39">
        <v>46183</v>
      </c>
      <c r="H578" s="41">
        <v>1.63</v>
      </c>
      <c r="I578" s="41">
        <v>113.04</v>
      </c>
      <c r="J578" s="39">
        <v>46206</v>
      </c>
      <c r="L578" s="37" t="s">
        <v>17</v>
      </c>
    </row>
    <row r="579" spans="1:12">
      <c r="A579" s="43" t="s">
        <v>1619</v>
      </c>
      <c r="B579" s="36" t="s">
        <v>1620</v>
      </c>
      <c r="C579" s="50" t="s">
        <v>14</v>
      </c>
      <c r="D579" s="37" t="s">
        <v>15</v>
      </c>
      <c r="E579" s="37" t="s">
        <v>55</v>
      </c>
      <c r="F579" s="38">
        <v>46205</v>
      </c>
      <c r="G579" s="39">
        <v>46183</v>
      </c>
      <c r="H579" s="41">
        <v>73.36</v>
      </c>
      <c r="I579" s="41">
        <v>27.81</v>
      </c>
      <c r="J579" s="39">
        <v>46211</v>
      </c>
      <c r="K579" s="36" t="s">
        <v>1621</v>
      </c>
      <c r="L579" s="37" t="s">
        <v>17</v>
      </c>
    </row>
    <row r="580" spans="1:12">
      <c r="A580" s="43">
        <v>58752606000163</v>
      </c>
      <c r="B580" s="36" t="s">
        <v>1622</v>
      </c>
      <c r="C580" s="50" t="s">
        <v>14</v>
      </c>
      <c r="D580" s="37" t="s">
        <v>783</v>
      </c>
      <c r="F580" s="38">
        <v>46218</v>
      </c>
      <c r="G580" s="39">
        <v>46183</v>
      </c>
      <c r="H580" s="41">
        <v>112.67</v>
      </c>
      <c r="I580" s="41"/>
      <c r="L580" s="37" t="s">
        <v>784</v>
      </c>
    </row>
    <row r="581" spans="1:12">
      <c r="A581" s="43" t="s">
        <v>1623</v>
      </c>
      <c r="B581" s="36" t="s">
        <v>1624</v>
      </c>
      <c r="C581" s="50" t="s">
        <v>14</v>
      </c>
      <c r="D581" s="37" t="s">
        <v>15</v>
      </c>
      <c r="E581" s="37" t="s">
        <v>1625</v>
      </c>
      <c r="F581" s="38">
        <v>46205</v>
      </c>
      <c r="G581" s="39">
        <v>46183</v>
      </c>
      <c r="H581" s="41">
        <v>112.52</v>
      </c>
      <c r="I581" s="41">
        <v>38.56</v>
      </c>
      <c r="J581" s="39">
        <v>46207</v>
      </c>
      <c r="K581" s="36" t="s">
        <v>1626</v>
      </c>
      <c r="L581" s="37" t="s">
        <v>17</v>
      </c>
    </row>
    <row r="582" spans="1:12">
      <c r="A582" s="43" t="s">
        <v>235</v>
      </c>
      <c r="B582" s="36" t="s">
        <v>236</v>
      </c>
      <c r="C582" s="50" t="s">
        <v>14</v>
      </c>
      <c r="D582" s="37" t="s">
        <v>15</v>
      </c>
      <c r="E582" s="37" t="s">
        <v>55</v>
      </c>
      <c r="F582" s="38">
        <v>46204</v>
      </c>
      <c r="G582" s="39">
        <v>46183</v>
      </c>
      <c r="H582" s="41">
        <v>169.99</v>
      </c>
      <c r="I582" s="41">
        <v>97.03</v>
      </c>
      <c r="J582" s="39">
        <v>46209</v>
      </c>
      <c r="K582" s="36" t="s">
        <v>1627</v>
      </c>
      <c r="L582" s="37" t="s">
        <v>17</v>
      </c>
    </row>
    <row r="583" spans="1:12">
      <c r="A583" s="43" t="s">
        <v>1628</v>
      </c>
      <c r="B583" s="36" t="s">
        <v>1629</v>
      </c>
      <c r="C583" s="50" t="s">
        <v>14</v>
      </c>
      <c r="D583" s="37" t="s">
        <v>15</v>
      </c>
      <c r="E583" s="37" t="s">
        <v>55</v>
      </c>
      <c r="F583" s="38">
        <v>46205</v>
      </c>
      <c r="G583" s="39">
        <v>46183</v>
      </c>
      <c r="H583" s="41">
        <v>109.99</v>
      </c>
      <c r="I583" s="41">
        <v>33.450000000000003</v>
      </c>
      <c r="J583" s="39">
        <v>46210</v>
      </c>
      <c r="K583" s="36" t="s">
        <v>1630</v>
      </c>
      <c r="L583" s="37" t="s">
        <v>17</v>
      </c>
    </row>
    <row r="584" spans="1:12">
      <c r="A584" s="43" t="s">
        <v>1631</v>
      </c>
      <c r="B584" s="36" t="s">
        <v>1632</v>
      </c>
      <c r="C584" s="50" t="s">
        <v>14</v>
      </c>
      <c r="D584" s="37" t="s">
        <v>15</v>
      </c>
      <c r="E584" s="37" t="s">
        <v>16</v>
      </c>
      <c r="F584" s="38">
        <v>46202</v>
      </c>
      <c r="G584" s="39">
        <v>46183</v>
      </c>
      <c r="H584" s="41">
        <v>18.38</v>
      </c>
      <c r="I584" s="41"/>
      <c r="J584" s="39">
        <v>46206</v>
      </c>
      <c r="L584" s="37" t="s">
        <v>17</v>
      </c>
    </row>
    <row r="585" spans="1:12">
      <c r="A585" s="43" t="s">
        <v>1633</v>
      </c>
      <c r="B585" s="36" t="s">
        <v>1634</v>
      </c>
      <c r="C585" s="50" t="s">
        <v>14</v>
      </c>
      <c r="D585" s="37" t="s">
        <v>15</v>
      </c>
      <c r="E585" s="37" t="s">
        <v>23</v>
      </c>
      <c r="F585" s="38">
        <v>46205</v>
      </c>
      <c r="G585" s="39">
        <v>46183</v>
      </c>
      <c r="H585" s="41">
        <v>159.97999999999999</v>
      </c>
      <c r="I585" s="41">
        <v>64.87</v>
      </c>
      <c r="J585" s="39">
        <v>46210</v>
      </c>
      <c r="K585" s="36" t="s">
        <v>1635</v>
      </c>
      <c r="L585" s="37" t="s">
        <v>17</v>
      </c>
    </row>
    <row r="586" spans="1:12">
      <c r="A586" s="43" t="s">
        <v>1636</v>
      </c>
      <c r="B586" s="36" t="s">
        <v>1637</v>
      </c>
      <c r="C586" s="50" t="s">
        <v>14</v>
      </c>
      <c r="D586" s="37" t="s">
        <v>783</v>
      </c>
      <c r="F586" s="38">
        <v>46218</v>
      </c>
      <c r="G586" s="39">
        <v>46183</v>
      </c>
      <c r="H586" s="41">
        <v>113.06</v>
      </c>
      <c r="I586" s="41"/>
      <c r="L586" s="37" t="s">
        <v>784</v>
      </c>
    </row>
    <row r="587" spans="1:12">
      <c r="A587" s="43" t="s">
        <v>1638</v>
      </c>
      <c r="B587" s="40" t="s">
        <v>1639</v>
      </c>
      <c r="C587" s="50" t="s">
        <v>14</v>
      </c>
      <c r="D587" s="37" t="s">
        <v>15</v>
      </c>
      <c r="E587" s="37" t="s">
        <v>55</v>
      </c>
      <c r="F587" s="38">
        <v>46205</v>
      </c>
      <c r="G587" s="39">
        <v>46183</v>
      </c>
      <c r="H587" s="41">
        <v>119.99</v>
      </c>
      <c r="I587" s="41">
        <v>18.489999999999998</v>
      </c>
      <c r="J587" s="39">
        <v>46210</v>
      </c>
      <c r="K587" s="36" t="s">
        <v>1640</v>
      </c>
      <c r="L587" s="37" t="s">
        <v>17</v>
      </c>
    </row>
    <row r="588" spans="1:12">
      <c r="A588" s="43" t="s">
        <v>1641</v>
      </c>
      <c r="B588" s="36" t="s">
        <v>1642</v>
      </c>
      <c r="C588" s="50" t="s">
        <v>14</v>
      </c>
      <c r="D588" s="37" t="s">
        <v>15</v>
      </c>
      <c r="E588" s="37" t="s">
        <v>55</v>
      </c>
      <c r="F588" s="38">
        <v>46205</v>
      </c>
      <c r="G588" s="39">
        <v>46183</v>
      </c>
      <c r="H588" s="41">
        <v>106.34</v>
      </c>
      <c r="I588" s="41">
        <v>43.85</v>
      </c>
      <c r="J588" s="39">
        <v>46210</v>
      </c>
      <c r="K588" s="36" t="s">
        <v>1643</v>
      </c>
      <c r="L588" s="37" t="s">
        <v>17</v>
      </c>
    </row>
    <row r="589" spans="1:12">
      <c r="A589" s="43" t="s">
        <v>1644</v>
      </c>
      <c r="B589" s="36" t="s">
        <v>1645</v>
      </c>
      <c r="C589" s="50" t="s">
        <v>14</v>
      </c>
      <c r="D589" s="37" t="s">
        <v>15</v>
      </c>
      <c r="E589" s="37" t="s">
        <v>16</v>
      </c>
      <c r="F589" s="38">
        <v>46202</v>
      </c>
      <c r="G589" s="39">
        <v>46183</v>
      </c>
      <c r="H589" s="41">
        <v>22.04</v>
      </c>
      <c r="I589" s="41"/>
      <c r="J589" s="39">
        <v>46206</v>
      </c>
      <c r="L589" s="37" t="s">
        <v>17</v>
      </c>
    </row>
    <row r="590" spans="1:12">
      <c r="A590" s="43" t="s">
        <v>1646</v>
      </c>
      <c r="B590" s="36" t="s">
        <v>1647</v>
      </c>
      <c r="C590" s="50" t="s">
        <v>14</v>
      </c>
      <c r="D590" s="37" t="s">
        <v>15</v>
      </c>
      <c r="E590" s="37" t="s">
        <v>169</v>
      </c>
      <c r="F590" s="38">
        <v>46205</v>
      </c>
      <c r="G590" s="39">
        <v>46183</v>
      </c>
      <c r="H590" s="41">
        <v>51.39</v>
      </c>
      <c r="I590" s="41">
        <v>32.56</v>
      </c>
      <c r="J590" s="39">
        <v>46210</v>
      </c>
      <c r="K590" s="36" t="s">
        <v>1648</v>
      </c>
      <c r="L590" s="37" t="s">
        <v>17</v>
      </c>
    </row>
    <row r="591" spans="1:12">
      <c r="A591" s="43" t="s">
        <v>1649</v>
      </c>
      <c r="B591" s="36" t="s">
        <v>1650</v>
      </c>
      <c r="C591" s="50" t="s">
        <v>14</v>
      </c>
      <c r="D591" s="37" t="s">
        <v>15</v>
      </c>
      <c r="E591" s="37" t="s">
        <v>55</v>
      </c>
      <c r="F591" s="38">
        <v>46205</v>
      </c>
      <c r="G591" s="39">
        <v>46183</v>
      </c>
      <c r="H591" s="41">
        <v>80.7</v>
      </c>
      <c r="I591" s="41">
        <v>38.58</v>
      </c>
      <c r="J591" s="39">
        <v>46210</v>
      </c>
      <c r="K591" s="36" t="s">
        <v>1651</v>
      </c>
      <c r="L591" s="37" t="s">
        <v>17</v>
      </c>
    </row>
    <row r="592" spans="1:12">
      <c r="A592" s="43" t="s">
        <v>1652</v>
      </c>
      <c r="B592" s="36" t="s">
        <v>1653</v>
      </c>
      <c r="C592" s="50" t="s">
        <v>14</v>
      </c>
      <c r="D592" s="37" t="s">
        <v>15</v>
      </c>
      <c r="E592" s="37" t="s">
        <v>55</v>
      </c>
      <c r="F592" s="38">
        <v>46202</v>
      </c>
      <c r="G592" s="39">
        <v>46183</v>
      </c>
      <c r="H592" s="41">
        <v>112.59</v>
      </c>
      <c r="I592" s="41">
        <v>45.66</v>
      </c>
      <c r="J592" s="39">
        <v>46206</v>
      </c>
      <c r="K592" s="36" t="s">
        <v>1654</v>
      </c>
      <c r="L592" s="37" t="s">
        <v>17</v>
      </c>
    </row>
    <row r="593" spans="1:12">
      <c r="A593" s="43" t="s">
        <v>1655</v>
      </c>
      <c r="B593" s="36" t="s">
        <v>1656</v>
      </c>
      <c r="C593" s="50" t="s">
        <v>14</v>
      </c>
      <c r="D593" s="37" t="s">
        <v>15</v>
      </c>
      <c r="E593" s="37" t="s">
        <v>62</v>
      </c>
      <c r="F593" s="38">
        <v>46205</v>
      </c>
      <c r="G593" s="39">
        <v>46183</v>
      </c>
      <c r="H593" s="41">
        <v>109.99</v>
      </c>
      <c r="I593" s="41">
        <v>11.31</v>
      </c>
      <c r="J593" s="39">
        <v>46213</v>
      </c>
      <c r="K593" s="36" t="s">
        <v>1657</v>
      </c>
      <c r="L593" s="37" t="s">
        <v>17</v>
      </c>
    </row>
    <row r="594" spans="1:12">
      <c r="A594" s="43" t="s">
        <v>1658</v>
      </c>
      <c r="B594" s="36" t="s">
        <v>1659</v>
      </c>
      <c r="C594" s="50" t="s">
        <v>14</v>
      </c>
      <c r="D594" s="37" t="s">
        <v>15</v>
      </c>
      <c r="E594" s="37" t="s">
        <v>23</v>
      </c>
      <c r="F594" s="38">
        <v>46210</v>
      </c>
      <c r="G594" s="39">
        <v>46183</v>
      </c>
      <c r="H594" s="41">
        <v>99.99</v>
      </c>
      <c r="I594" s="41">
        <v>30.43</v>
      </c>
      <c r="J594" s="39">
        <v>46215</v>
      </c>
      <c r="K594" s="36" t="s">
        <v>1660</v>
      </c>
      <c r="L594" s="37" t="s">
        <v>17</v>
      </c>
    </row>
    <row r="595" spans="1:12">
      <c r="A595" s="43" t="s">
        <v>1661</v>
      </c>
      <c r="B595" s="36" t="s">
        <v>1662</v>
      </c>
      <c r="C595" s="50" t="s">
        <v>14</v>
      </c>
      <c r="D595" s="37" t="s">
        <v>15</v>
      </c>
      <c r="E595" s="37" t="s">
        <v>62</v>
      </c>
      <c r="F595" s="38">
        <v>46205</v>
      </c>
      <c r="G595" s="39">
        <v>46183</v>
      </c>
      <c r="H595" s="41">
        <v>109.99</v>
      </c>
      <c r="I595" s="41">
        <v>44.73</v>
      </c>
      <c r="J595" s="39">
        <v>46213</v>
      </c>
      <c r="K595" s="36" t="s">
        <v>1663</v>
      </c>
      <c r="L595" s="37" t="s">
        <v>17</v>
      </c>
    </row>
    <row r="596" spans="1:12">
      <c r="A596" s="43" t="s">
        <v>1664</v>
      </c>
      <c r="B596" s="36" t="s">
        <v>1665</v>
      </c>
      <c r="C596" s="50" t="s">
        <v>14</v>
      </c>
      <c r="D596" s="37" t="s">
        <v>15</v>
      </c>
      <c r="E596" s="37" t="s">
        <v>169</v>
      </c>
      <c r="F596" s="38">
        <v>46205</v>
      </c>
      <c r="G596" s="39">
        <v>46183</v>
      </c>
      <c r="H596" s="41">
        <v>110.26</v>
      </c>
      <c r="I596" s="41">
        <v>45.26</v>
      </c>
      <c r="J596" s="39">
        <v>46209</v>
      </c>
      <c r="K596" s="36" t="s">
        <v>1666</v>
      </c>
      <c r="L596" s="37" t="s">
        <v>17</v>
      </c>
    </row>
    <row r="597" spans="1:12">
      <c r="A597" s="43" t="s">
        <v>1667</v>
      </c>
      <c r="B597" s="36" t="s">
        <v>1668</v>
      </c>
      <c r="C597" s="50" t="s">
        <v>14</v>
      </c>
      <c r="D597" s="37" t="s">
        <v>15</v>
      </c>
      <c r="E597" s="37" t="s">
        <v>55</v>
      </c>
      <c r="F597" s="38">
        <v>46210</v>
      </c>
      <c r="G597" s="39">
        <v>46183</v>
      </c>
      <c r="H597" s="41">
        <v>44.01</v>
      </c>
      <c r="I597" s="41">
        <v>33.049999999999997</v>
      </c>
      <c r="J597" s="39">
        <v>46213</v>
      </c>
      <c r="K597" s="36" t="s">
        <v>1669</v>
      </c>
      <c r="L597" s="37" t="s">
        <v>17</v>
      </c>
    </row>
    <row r="598" spans="1:12">
      <c r="A598" s="43" t="s">
        <v>1670</v>
      </c>
      <c r="B598" s="36" t="s">
        <v>1671</v>
      </c>
      <c r="C598" s="50" t="s">
        <v>14</v>
      </c>
      <c r="D598" s="37" t="s">
        <v>15</v>
      </c>
      <c r="E598" s="37" t="s">
        <v>55</v>
      </c>
      <c r="F598" s="38">
        <v>46210</v>
      </c>
      <c r="G598" s="39">
        <v>46183</v>
      </c>
      <c r="H598" s="41">
        <v>109.99</v>
      </c>
      <c r="I598" s="41">
        <v>44.63</v>
      </c>
      <c r="J598" s="39">
        <v>46213</v>
      </c>
      <c r="K598" s="36" t="s">
        <v>1672</v>
      </c>
      <c r="L598" s="37" t="s">
        <v>17</v>
      </c>
    </row>
    <row r="599" spans="1:12">
      <c r="A599" s="43" t="s">
        <v>247</v>
      </c>
      <c r="B599" s="36" t="s">
        <v>248</v>
      </c>
      <c r="C599" s="50" t="s">
        <v>14</v>
      </c>
      <c r="D599" s="37" t="s">
        <v>15</v>
      </c>
      <c r="E599" s="37" t="s">
        <v>55</v>
      </c>
      <c r="F599" s="38">
        <v>46210</v>
      </c>
      <c r="G599" s="39">
        <v>46183</v>
      </c>
      <c r="H599" s="41">
        <v>109.99</v>
      </c>
      <c r="I599" s="41">
        <v>44.7</v>
      </c>
      <c r="J599" s="39">
        <v>46215</v>
      </c>
      <c r="K599" s="36" t="s">
        <v>1673</v>
      </c>
      <c r="L599" s="37" t="s">
        <v>17</v>
      </c>
    </row>
    <row r="600" spans="1:12">
      <c r="A600" s="43" t="s">
        <v>1674</v>
      </c>
      <c r="B600" s="36" t="s">
        <v>1675</v>
      </c>
      <c r="C600" s="50" t="s">
        <v>14</v>
      </c>
      <c r="D600" s="37" t="s">
        <v>15</v>
      </c>
      <c r="E600" s="37" t="s">
        <v>58</v>
      </c>
      <c r="F600" s="38">
        <v>46205</v>
      </c>
      <c r="G600" s="39">
        <v>46183</v>
      </c>
      <c r="H600" s="41">
        <v>109.99</v>
      </c>
      <c r="I600" s="41">
        <v>60.18</v>
      </c>
      <c r="J600" s="39">
        <v>46213</v>
      </c>
      <c r="K600" s="36" t="s">
        <v>1676</v>
      </c>
      <c r="L600" s="37" t="s">
        <v>17</v>
      </c>
    </row>
    <row r="601" spans="1:12">
      <c r="A601" s="43" t="s">
        <v>1677</v>
      </c>
      <c r="B601" s="36" t="s">
        <v>1678</v>
      </c>
      <c r="C601" s="50" t="s">
        <v>14</v>
      </c>
      <c r="D601" s="37" t="s">
        <v>15</v>
      </c>
      <c r="E601" s="37" t="s">
        <v>16</v>
      </c>
      <c r="F601" s="38">
        <v>46202</v>
      </c>
      <c r="G601" s="39">
        <v>46183</v>
      </c>
      <c r="H601" s="41">
        <v>2.58</v>
      </c>
      <c r="I601" s="41"/>
      <c r="J601" s="39">
        <v>46206</v>
      </c>
      <c r="L601" s="37" t="s">
        <v>17</v>
      </c>
    </row>
    <row r="602" spans="1:12">
      <c r="A602" s="43" t="s">
        <v>1679</v>
      </c>
      <c r="B602" s="36" t="s">
        <v>1680</v>
      </c>
      <c r="C602" s="50" t="s">
        <v>14</v>
      </c>
      <c r="D602" s="37" t="s">
        <v>15</v>
      </c>
      <c r="E602" s="37" t="s">
        <v>55</v>
      </c>
      <c r="F602" s="38">
        <v>46205</v>
      </c>
      <c r="G602" s="39">
        <v>46183</v>
      </c>
      <c r="H602" s="41">
        <v>111.14</v>
      </c>
      <c r="I602" s="41">
        <v>35.69</v>
      </c>
      <c r="J602" s="39">
        <v>46214</v>
      </c>
      <c r="K602" s="36" t="s">
        <v>1681</v>
      </c>
      <c r="L602" s="37" t="s">
        <v>17</v>
      </c>
    </row>
    <row r="603" spans="1:12">
      <c r="A603" s="43" t="s">
        <v>1682</v>
      </c>
      <c r="B603" s="36" t="s">
        <v>1683</v>
      </c>
      <c r="C603" s="50" t="s">
        <v>14</v>
      </c>
      <c r="D603" s="37" t="s">
        <v>15</v>
      </c>
      <c r="E603" s="37" t="s">
        <v>58</v>
      </c>
      <c r="F603" s="38">
        <v>46205</v>
      </c>
      <c r="G603" s="39">
        <v>46183</v>
      </c>
      <c r="H603" s="41">
        <v>109.99</v>
      </c>
      <c r="I603" s="41">
        <v>56.31</v>
      </c>
      <c r="J603" s="39">
        <v>46213</v>
      </c>
      <c r="K603" s="36" t="s">
        <v>1684</v>
      </c>
      <c r="L603" s="37" t="s">
        <v>17</v>
      </c>
    </row>
    <row r="604" spans="1:12">
      <c r="A604" s="43" t="s">
        <v>1685</v>
      </c>
      <c r="B604" s="36" t="s">
        <v>1686</v>
      </c>
      <c r="C604" s="50" t="s">
        <v>14</v>
      </c>
      <c r="D604" s="37" t="s">
        <v>15</v>
      </c>
      <c r="E604" s="37" t="s">
        <v>62</v>
      </c>
      <c r="F604" s="38">
        <v>46205</v>
      </c>
      <c r="G604" s="39">
        <v>46183</v>
      </c>
      <c r="H604" s="41">
        <v>109.99</v>
      </c>
      <c r="I604" s="41">
        <v>44.63</v>
      </c>
      <c r="J604" s="39">
        <v>46213</v>
      </c>
      <c r="K604" s="36" t="s">
        <v>1687</v>
      </c>
      <c r="L604" s="37" t="s">
        <v>17</v>
      </c>
    </row>
    <row r="605" spans="1:12">
      <c r="A605" s="43">
        <v>5440212000103</v>
      </c>
      <c r="B605" s="36" t="s">
        <v>1688</v>
      </c>
      <c r="C605" s="50" t="s">
        <v>14</v>
      </c>
      <c r="D605" s="37" t="s">
        <v>15</v>
      </c>
      <c r="E605" s="37" t="s">
        <v>23</v>
      </c>
      <c r="F605" s="38">
        <v>46211</v>
      </c>
      <c r="G605" s="39">
        <v>46183</v>
      </c>
      <c r="H605" s="41">
        <v>116.03</v>
      </c>
      <c r="I605" s="41">
        <v>47.88</v>
      </c>
      <c r="J605" s="39">
        <v>46216</v>
      </c>
      <c r="K605" s="36" t="s">
        <v>1689</v>
      </c>
      <c r="L605" s="37" t="s">
        <v>17</v>
      </c>
    </row>
    <row r="606" spans="1:12">
      <c r="A606" s="43" t="s">
        <v>1690</v>
      </c>
      <c r="B606" s="36" t="s">
        <v>1691</v>
      </c>
      <c r="C606" s="50" t="s">
        <v>14</v>
      </c>
      <c r="D606" s="37" t="s">
        <v>15</v>
      </c>
      <c r="E606" s="37" t="s">
        <v>169</v>
      </c>
      <c r="F606" s="38">
        <v>46205</v>
      </c>
      <c r="G606" s="39">
        <v>46183</v>
      </c>
      <c r="H606" s="41">
        <v>121.9</v>
      </c>
      <c r="I606" s="41">
        <v>25.05</v>
      </c>
      <c r="J606" s="39">
        <v>46210</v>
      </c>
      <c r="K606" s="36" t="s">
        <v>1692</v>
      </c>
      <c r="L606" s="37" t="s">
        <v>17</v>
      </c>
    </row>
    <row r="607" spans="1:12">
      <c r="A607" s="43" t="s">
        <v>1693</v>
      </c>
      <c r="B607" s="36" t="s">
        <v>1694</v>
      </c>
      <c r="C607" s="50" t="s">
        <v>14</v>
      </c>
      <c r="D607" s="37" t="s">
        <v>15</v>
      </c>
      <c r="E607" s="37" t="s">
        <v>62</v>
      </c>
      <c r="F607" s="38">
        <v>46205</v>
      </c>
      <c r="G607" s="39">
        <v>46183</v>
      </c>
      <c r="H607" s="41">
        <v>101.18</v>
      </c>
      <c r="I607" s="41">
        <v>20.81</v>
      </c>
      <c r="J607" s="39">
        <v>46213</v>
      </c>
      <c r="K607" s="36" t="s">
        <v>1695</v>
      </c>
      <c r="L607" s="37" t="s">
        <v>17</v>
      </c>
    </row>
    <row r="608" spans="1:12">
      <c r="A608" s="43" t="s">
        <v>1696</v>
      </c>
      <c r="B608" s="36" t="s">
        <v>1697</v>
      </c>
      <c r="C608" s="50" t="s">
        <v>14</v>
      </c>
      <c r="D608" s="37" t="s">
        <v>783</v>
      </c>
      <c r="F608" s="38">
        <v>46218</v>
      </c>
      <c r="G608" s="39">
        <v>46183</v>
      </c>
      <c r="H608" s="41">
        <v>99.99</v>
      </c>
      <c r="I608" s="41"/>
      <c r="L608" s="37" t="s">
        <v>784</v>
      </c>
    </row>
    <row r="609" spans="1:12">
      <c r="A609" s="43" t="s">
        <v>1698</v>
      </c>
      <c r="B609" s="36" t="s">
        <v>1699</v>
      </c>
      <c r="C609" s="50" t="s">
        <v>14</v>
      </c>
      <c r="D609" s="37" t="s">
        <v>15</v>
      </c>
      <c r="E609" s="37" t="s">
        <v>23</v>
      </c>
      <c r="F609" s="38">
        <v>46210</v>
      </c>
      <c r="G609" s="39">
        <v>46183</v>
      </c>
      <c r="H609" s="41">
        <v>82.38</v>
      </c>
      <c r="I609" s="41">
        <v>32.21</v>
      </c>
      <c r="J609" s="39">
        <v>46215</v>
      </c>
      <c r="K609" s="36" t="s">
        <v>1700</v>
      </c>
      <c r="L609" s="37" t="s">
        <v>17</v>
      </c>
    </row>
    <row r="610" spans="1:12">
      <c r="A610" s="43" t="s">
        <v>606</v>
      </c>
      <c r="B610" s="36" t="s">
        <v>607</v>
      </c>
      <c r="C610" s="50" t="s">
        <v>14</v>
      </c>
      <c r="D610" s="37" t="s">
        <v>15</v>
      </c>
      <c r="E610" s="37" t="s">
        <v>55</v>
      </c>
      <c r="F610" s="38">
        <v>46210</v>
      </c>
      <c r="G610" s="39">
        <v>46183</v>
      </c>
      <c r="H610" s="41">
        <v>108.66</v>
      </c>
      <c r="I610" s="41">
        <v>44.42</v>
      </c>
      <c r="J610" s="39">
        <v>46215</v>
      </c>
      <c r="K610" s="36" t="s">
        <v>1701</v>
      </c>
      <c r="L610" s="37" t="s">
        <v>17</v>
      </c>
    </row>
    <row r="611" spans="1:12">
      <c r="A611" s="43" t="s">
        <v>1702</v>
      </c>
      <c r="B611" s="36" t="s">
        <v>1703</v>
      </c>
      <c r="C611" s="50" t="s">
        <v>14</v>
      </c>
      <c r="D611" s="37" t="s">
        <v>15</v>
      </c>
      <c r="E611" s="37" t="s">
        <v>58</v>
      </c>
      <c r="F611" s="38">
        <v>46205</v>
      </c>
      <c r="G611" s="39">
        <v>46183</v>
      </c>
      <c r="H611" s="41">
        <v>49.99</v>
      </c>
      <c r="I611" s="41">
        <v>25.39</v>
      </c>
      <c r="J611" s="39">
        <v>46213</v>
      </c>
      <c r="K611" s="36" t="s">
        <v>1704</v>
      </c>
      <c r="L611" s="37" t="s">
        <v>17</v>
      </c>
    </row>
    <row r="612" spans="1:12">
      <c r="A612" s="43" t="e">
        <v>#N/A</v>
      </c>
      <c r="B612" s="36" t="s">
        <v>1705</v>
      </c>
      <c r="C612" s="50" t="s">
        <v>14</v>
      </c>
      <c r="D612" s="37" t="s">
        <v>783</v>
      </c>
      <c r="F612" s="38">
        <v>46218</v>
      </c>
      <c r="G612" s="39">
        <v>46183</v>
      </c>
      <c r="H612" s="41">
        <v>46.7</v>
      </c>
      <c r="I612" s="41"/>
      <c r="L612" s="37" t="s">
        <v>784</v>
      </c>
    </row>
    <row r="613" spans="1:12">
      <c r="A613" s="43" t="s">
        <v>418</v>
      </c>
      <c r="B613" s="36" t="s">
        <v>419</v>
      </c>
      <c r="C613" s="50" t="s">
        <v>14</v>
      </c>
      <c r="D613" s="37" t="s">
        <v>15</v>
      </c>
      <c r="E613" s="37" t="s">
        <v>55</v>
      </c>
      <c r="F613" s="38">
        <v>46210</v>
      </c>
      <c r="G613" s="39">
        <v>46183</v>
      </c>
      <c r="H613" s="41">
        <v>49.99</v>
      </c>
      <c r="I613" s="41">
        <v>20.38</v>
      </c>
      <c r="J613" s="39">
        <v>46214</v>
      </c>
      <c r="K613" s="36" t="s">
        <v>1706</v>
      </c>
      <c r="L613" s="37" t="s">
        <v>17</v>
      </c>
    </row>
    <row r="614" spans="1:12">
      <c r="A614" s="43" t="s">
        <v>1707</v>
      </c>
      <c r="B614" s="36" t="s">
        <v>1708</v>
      </c>
      <c r="C614" s="50" t="s">
        <v>14</v>
      </c>
      <c r="D614" s="37" t="s">
        <v>15</v>
      </c>
      <c r="E614" s="37" t="s">
        <v>55</v>
      </c>
      <c r="F614" s="38">
        <v>46210</v>
      </c>
      <c r="G614" s="39">
        <v>46183</v>
      </c>
      <c r="H614" s="41">
        <v>59.99</v>
      </c>
      <c r="I614" s="41">
        <v>24.34</v>
      </c>
      <c r="J614" s="39">
        <v>46214</v>
      </c>
      <c r="K614" s="36" t="s">
        <v>1709</v>
      </c>
      <c r="L614" s="37" t="s">
        <v>17</v>
      </c>
    </row>
    <row r="615" spans="1:12">
      <c r="A615" s="43" t="e">
        <v>#N/A</v>
      </c>
      <c r="B615" s="36" t="s">
        <v>1710</v>
      </c>
      <c r="C615" s="50" t="s">
        <v>14</v>
      </c>
      <c r="D615" s="37" t="s">
        <v>783</v>
      </c>
      <c r="F615" s="38">
        <v>46218</v>
      </c>
      <c r="G615" s="39">
        <v>46183</v>
      </c>
      <c r="H615" s="41">
        <v>49.99</v>
      </c>
      <c r="I615" s="41"/>
      <c r="L615" s="37" t="s">
        <v>784</v>
      </c>
    </row>
    <row r="616" spans="1:12">
      <c r="A616" s="43" t="s">
        <v>1711</v>
      </c>
      <c r="B616" s="36" t="s">
        <v>1712</v>
      </c>
      <c r="C616" s="50" t="s">
        <v>14</v>
      </c>
      <c r="D616" s="37" t="s">
        <v>15</v>
      </c>
      <c r="E616" s="37" t="s">
        <v>16</v>
      </c>
      <c r="F616" s="38">
        <v>46210</v>
      </c>
      <c r="G616" s="39">
        <v>46183</v>
      </c>
      <c r="H616" s="41">
        <v>29.37</v>
      </c>
      <c r="I616" s="41"/>
      <c r="J616" s="39">
        <v>46206</v>
      </c>
      <c r="L616" s="37" t="s">
        <v>17</v>
      </c>
    </row>
    <row r="617" spans="1:12">
      <c r="A617" s="43">
        <v>7883351000137</v>
      </c>
      <c r="B617" s="36" t="s">
        <v>1713</v>
      </c>
      <c r="C617" s="50" t="s">
        <v>14</v>
      </c>
      <c r="D617" s="37" t="s">
        <v>783</v>
      </c>
      <c r="F617" s="38">
        <v>46218</v>
      </c>
      <c r="G617" s="39">
        <v>46183</v>
      </c>
      <c r="H617" s="41">
        <v>49.99</v>
      </c>
      <c r="I617" s="41"/>
      <c r="L617" s="37" t="s">
        <v>784</v>
      </c>
    </row>
    <row r="618" spans="1:12">
      <c r="A618" s="43" t="s">
        <v>1714</v>
      </c>
      <c r="B618" s="36" t="s">
        <v>1715</v>
      </c>
      <c r="C618" s="50" t="s">
        <v>14</v>
      </c>
      <c r="D618" s="37" t="s">
        <v>15</v>
      </c>
      <c r="E618" s="37" t="s">
        <v>16</v>
      </c>
      <c r="F618" s="38">
        <v>46210</v>
      </c>
      <c r="G618" s="39">
        <v>46183</v>
      </c>
      <c r="H618" s="41">
        <v>21.4</v>
      </c>
      <c r="I618" s="41"/>
      <c r="J618" s="39">
        <v>46206</v>
      </c>
      <c r="L618" s="37" t="s">
        <v>17</v>
      </c>
    </row>
    <row r="619" spans="1:12">
      <c r="A619" s="43" t="s">
        <v>1716</v>
      </c>
      <c r="B619" s="36" t="s">
        <v>1717</v>
      </c>
      <c r="C619" s="50" t="s">
        <v>14</v>
      </c>
      <c r="D619" s="37" t="s">
        <v>783</v>
      </c>
      <c r="F619" s="38">
        <v>46218</v>
      </c>
      <c r="G619" s="39">
        <v>46183</v>
      </c>
      <c r="H619" s="41">
        <v>49.99</v>
      </c>
      <c r="I619" s="41"/>
      <c r="L619" s="37" t="s">
        <v>784</v>
      </c>
    </row>
    <row r="620" spans="1:12">
      <c r="A620" s="43" t="s">
        <v>414</v>
      </c>
      <c r="B620" s="36" t="s">
        <v>415</v>
      </c>
      <c r="C620" s="50" t="s">
        <v>14</v>
      </c>
      <c r="D620" s="37" t="s">
        <v>15</v>
      </c>
      <c r="E620" s="37" t="s">
        <v>55</v>
      </c>
      <c r="F620" s="38">
        <v>46205</v>
      </c>
      <c r="G620" s="39">
        <v>46183</v>
      </c>
      <c r="H620" s="41">
        <v>49.99</v>
      </c>
      <c r="I620" s="41">
        <v>24.84</v>
      </c>
      <c r="J620" s="39">
        <v>46213</v>
      </c>
      <c r="K620" s="36" t="s">
        <v>1718</v>
      </c>
      <c r="L620" s="37" t="s">
        <v>17</v>
      </c>
    </row>
    <row r="621" spans="1:12">
      <c r="A621" s="43" t="s">
        <v>1719</v>
      </c>
      <c r="B621" s="36" t="s">
        <v>1720</v>
      </c>
      <c r="C621" s="50" t="s">
        <v>14</v>
      </c>
      <c r="D621" s="37" t="s">
        <v>15</v>
      </c>
      <c r="E621" s="37" t="s">
        <v>58</v>
      </c>
      <c r="F621" s="38">
        <v>46210</v>
      </c>
      <c r="G621" s="39">
        <v>46183</v>
      </c>
      <c r="H621" s="41">
        <v>102.19</v>
      </c>
      <c r="I621" s="41">
        <v>40</v>
      </c>
      <c r="J621" s="39">
        <v>46213</v>
      </c>
      <c r="K621" s="36" t="s">
        <v>1721</v>
      </c>
      <c r="L621" s="37" t="s">
        <v>17</v>
      </c>
    </row>
    <row r="622" spans="1:12">
      <c r="A622" s="43" t="s">
        <v>1722</v>
      </c>
      <c r="B622" s="36" t="s">
        <v>1723</v>
      </c>
      <c r="C622" s="50" t="s">
        <v>14</v>
      </c>
      <c r="D622" s="37" t="s">
        <v>15</v>
      </c>
      <c r="E622" s="37" t="s">
        <v>16</v>
      </c>
      <c r="F622" s="38">
        <v>46210</v>
      </c>
      <c r="G622" s="39">
        <v>46183</v>
      </c>
      <c r="H622" s="41">
        <v>1.97</v>
      </c>
      <c r="I622" s="41"/>
      <c r="J622" s="39">
        <v>46206</v>
      </c>
      <c r="L622" s="37" t="s">
        <v>17</v>
      </c>
    </row>
    <row r="623" spans="1:12">
      <c r="A623" s="43" t="s">
        <v>1724</v>
      </c>
      <c r="B623" s="36" t="s">
        <v>1725</v>
      </c>
      <c r="C623" s="50" t="s">
        <v>14</v>
      </c>
      <c r="D623" s="37" t="s">
        <v>15</v>
      </c>
      <c r="E623" s="37" t="s">
        <v>23</v>
      </c>
      <c r="F623" s="38">
        <v>46205</v>
      </c>
      <c r="G623" s="39">
        <v>46183</v>
      </c>
      <c r="H623" s="41">
        <v>101.81</v>
      </c>
      <c r="I623" s="41">
        <v>40.92</v>
      </c>
      <c r="J623" s="39">
        <v>46209</v>
      </c>
      <c r="K623" s="36" t="s">
        <v>1726</v>
      </c>
      <c r="L623" s="37" t="s">
        <v>17</v>
      </c>
    </row>
    <row r="624" spans="1:12">
      <c r="A624" s="43" t="s">
        <v>1727</v>
      </c>
      <c r="B624" s="36" t="s">
        <v>1728</v>
      </c>
      <c r="C624" s="50" t="s">
        <v>14</v>
      </c>
      <c r="D624" s="37" t="s">
        <v>15</v>
      </c>
      <c r="E624" s="37" t="s">
        <v>169</v>
      </c>
      <c r="F624" s="38">
        <v>46210</v>
      </c>
      <c r="G624" s="39">
        <v>46183</v>
      </c>
      <c r="H624" s="41">
        <v>99.99</v>
      </c>
      <c r="I624" s="41">
        <v>41.15</v>
      </c>
      <c r="J624" s="39">
        <v>46213</v>
      </c>
      <c r="K624" s="36" t="s">
        <v>1729</v>
      </c>
      <c r="L624" s="37" t="s">
        <v>17</v>
      </c>
    </row>
    <row r="625" spans="1:12">
      <c r="A625" s="43" t="s">
        <v>1730</v>
      </c>
      <c r="B625" s="36" t="s">
        <v>1731</v>
      </c>
      <c r="C625" s="50" t="s">
        <v>14</v>
      </c>
      <c r="D625" s="37" t="s">
        <v>783</v>
      </c>
      <c r="F625" s="38">
        <v>46218</v>
      </c>
      <c r="G625" s="39">
        <v>46183</v>
      </c>
      <c r="H625" s="41">
        <v>100.67</v>
      </c>
      <c r="I625" s="41"/>
      <c r="L625" s="37" t="s">
        <v>784</v>
      </c>
    </row>
    <row r="626" spans="1:12">
      <c r="A626" s="43" t="s">
        <v>1732</v>
      </c>
      <c r="B626" s="36" t="s">
        <v>1733</v>
      </c>
      <c r="C626" s="50" t="s">
        <v>14</v>
      </c>
      <c r="D626" s="37" t="s">
        <v>15</v>
      </c>
      <c r="E626" s="37" t="s">
        <v>58</v>
      </c>
      <c r="F626" s="38">
        <v>46205</v>
      </c>
      <c r="G626" s="39">
        <v>46183</v>
      </c>
      <c r="H626" s="41">
        <v>109.62</v>
      </c>
      <c r="I626" s="41">
        <v>67.209999999999994</v>
      </c>
      <c r="J626" s="39" t="s">
        <v>1734</v>
      </c>
      <c r="K626" s="36" t="s">
        <v>1735</v>
      </c>
      <c r="L626" s="37" t="s">
        <v>17</v>
      </c>
    </row>
    <row r="627" spans="1:12">
      <c r="A627" s="43">
        <v>59986051000187</v>
      </c>
      <c r="B627" s="36" t="s">
        <v>1736</v>
      </c>
      <c r="C627" s="50" t="s">
        <v>14</v>
      </c>
      <c r="D627" s="37" t="s">
        <v>15</v>
      </c>
      <c r="E627" s="37" t="s">
        <v>16</v>
      </c>
      <c r="F627" s="38">
        <v>46210</v>
      </c>
      <c r="G627" s="39">
        <v>46183</v>
      </c>
      <c r="H627" s="41">
        <v>32.020000000000003</v>
      </c>
      <c r="I627" s="41"/>
      <c r="J627" s="39">
        <v>46206</v>
      </c>
      <c r="L627" s="37" t="s">
        <v>17</v>
      </c>
    </row>
    <row r="628" spans="1:12">
      <c r="A628" s="43" t="s">
        <v>1737</v>
      </c>
      <c r="B628" s="36" t="s">
        <v>1738</v>
      </c>
      <c r="C628" s="50" t="s">
        <v>14</v>
      </c>
      <c r="D628" s="37" t="s">
        <v>15</v>
      </c>
      <c r="E628" s="37" t="s">
        <v>698</v>
      </c>
      <c r="F628" s="38">
        <v>46212</v>
      </c>
      <c r="G628" s="39">
        <v>46183</v>
      </c>
      <c r="H628" s="41">
        <v>44.01</v>
      </c>
      <c r="I628" s="41">
        <v>33.06</v>
      </c>
      <c r="J628" s="39">
        <v>46217</v>
      </c>
      <c r="K628" s="36" t="s">
        <v>1739</v>
      </c>
      <c r="L628" s="37" t="s">
        <v>17</v>
      </c>
    </row>
    <row r="629" spans="1:12">
      <c r="A629" s="43" t="s">
        <v>1740</v>
      </c>
      <c r="B629" t="s">
        <v>1741</v>
      </c>
      <c r="C629" s="50" t="s">
        <v>14</v>
      </c>
      <c r="D629" s="37" t="s">
        <v>15</v>
      </c>
      <c r="E629" s="37" t="s">
        <v>55</v>
      </c>
      <c r="F629" s="38">
        <v>46205</v>
      </c>
      <c r="G629" s="39">
        <v>46183</v>
      </c>
      <c r="H629" s="41">
        <v>40.36</v>
      </c>
      <c r="I629" s="41">
        <v>22.72</v>
      </c>
      <c r="J629" s="39">
        <v>46214</v>
      </c>
      <c r="K629" s="36" t="s">
        <v>1742</v>
      </c>
      <c r="L629" s="37" t="s">
        <v>17</v>
      </c>
    </row>
    <row r="630" spans="1:12">
      <c r="A630" s="43" t="s">
        <v>1743</v>
      </c>
      <c r="B630" t="s">
        <v>1744</v>
      </c>
      <c r="C630" s="50" t="s">
        <v>14</v>
      </c>
      <c r="D630" s="37" t="s">
        <v>15</v>
      </c>
      <c r="E630" s="37" t="s">
        <v>55</v>
      </c>
      <c r="F630" s="38">
        <v>46205</v>
      </c>
      <c r="G630" s="39">
        <v>46183</v>
      </c>
      <c r="H630" s="41">
        <v>159.99</v>
      </c>
      <c r="I630" s="41">
        <v>68.11</v>
      </c>
      <c r="J630" s="39" t="s">
        <v>1745</v>
      </c>
      <c r="K630" s="36" t="s">
        <v>1746</v>
      </c>
      <c r="L630" s="37" t="s">
        <v>17</v>
      </c>
    </row>
    <row r="631" spans="1:12">
      <c r="A631" s="43" t="s">
        <v>1747</v>
      </c>
      <c r="B631" t="s">
        <v>1748</v>
      </c>
      <c r="C631" s="50" t="s">
        <v>14</v>
      </c>
      <c r="D631" s="37" t="s">
        <v>15</v>
      </c>
      <c r="E631" s="37" t="s">
        <v>62</v>
      </c>
      <c r="F631" s="38">
        <v>46212</v>
      </c>
      <c r="G631" s="39">
        <v>46183</v>
      </c>
      <c r="H631" s="41">
        <v>129.68</v>
      </c>
      <c r="I631" s="41">
        <v>53.46</v>
      </c>
      <c r="J631" s="39">
        <v>46216</v>
      </c>
      <c r="K631" s="36" t="s">
        <v>1749</v>
      </c>
      <c r="L631" s="37" t="s">
        <v>17</v>
      </c>
    </row>
    <row r="632" spans="1:12">
      <c r="A632" s="43">
        <v>36827770000150</v>
      </c>
      <c r="B632" t="s">
        <v>1750</v>
      </c>
      <c r="C632" s="50" t="s">
        <v>14</v>
      </c>
      <c r="D632" s="37" t="s">
        <v>783</v>
      </c>
      <c r="F632" s="38">
        <v>46218</v>
      </c>
      <c r="G632" s="39">
        <v>46183</v>
      </c>
      <c r="H632" s="41">
        <v>122.83</v>
      </c>
      <c r="I632" s="41"/>
      <c r="L632" s="37" t="s">
        <v>784</v>
      </c>
    </row>
    <row r="633" spans="1:12">
      <c r="A633" s="43" t="s">
        <v>1751</v>
      </c>
      <c r="B633" t="s">
        <v>1752</v>
      </c>
      <c r="C633" s="50" t="s">
        <v>14</v>
      </c>
      <c r="D633" s="37" t="s">
        <v>15</v>
      </c>
      <c r="E633" s="37" t="s">
        <v>55</v>
      </c>
      <c r="F633" s="38">
        <v>46205</v>
      </c>
      <c r="G633" s="39">
        <v>46183</v>
      </c>
      <c r="H633" s="41">
        <v>109.06</v>
      </c>
      <c r="I633" s="41">
        <v>33.450000000000003</v>
      </c>
      <c r="J633" s="39">
        <v>46214</v>
      </c>
      <c r="K633" s="36" t="s">
        <v>1753</v>
      </c>
      <c r="L633" s="37" t="s">
        <v>17</v>
      </c>
    </row>
    <row r="634" spans="1:12">
      <c r="A634" s="43" t="s">
        <v>1754</v>
      </c>
      <c r="B634" s="6" t="s">
        <v>1755</v>
      </c>
      <c r="C634" s="50" t="s">
        <v>14</v>
      </c>
      <c r="D634" s="37" t="s">
        <v>15</v>
      </c>
      <c r="E634" s="37" t="s">
        <v>55</v>
      </c>
      <c r="F634" s="38">
        <v>46210</v>
      </c>
      <c r="G634" s="39">
        <v>46183</v>
      </c>
      <c r="H634" s="41">
        <v>110.73</v>
      </c>
      <c r="I634" s="41">
        <v>55.98</v>
      </c>
      <c r="J634" s="39">
        <v>46214</v>
      </c>
      <c r="K634" s="36" t="s">
        <v>1756</v>
      </c>
      <c r="L634" s="37" t="s">
        <v>17</v>
      </c>
    </row>
    <row r="635" spans="1:12">
      <c r="A635" s="43" t="s">
        <v>1757</v>
      </c>
      <c r="B635" t="s">
        <v>1758</v>
      </c>
      <c r="C635" s="50" t="s">
        <v>14</v>
      </c>
      <c r="D635" s="37" t="s">
        <v>15</v>
      </c>
      <c r="E635" s="37" t="s">
        <v>55</v>
      </c>
      <c r="F635" s="38">
        <v>46205</v>
      </c>
      <c r="G635" s="39">
        <v>46183</v>
      </c>
      <c r="H635" s="41">
        <v>86.69</v>
      </c>
      <c r="I635" s="41">
        <v>32.869999999999997</v>
      </c>
      <c r="J635" s="39">
        <v>46214</v>
      </c>
      <c r="K635" s="36" t="s">
        <v>1759</v>
      </c>
      <c r="L635" s="37" t="s">
        <v>17</v>
      </c>
    </row>
    <row r="636" spans="1:12">
      <c r="A636" s="43" t="s">
        <v>1760</v>
      </c>
      <c r="B636" t="s">
        <v>1761</v>
      </c>
      <c r="C636" s="50" t="s">
        <v>14</v>
      </c>
      <c r="D636" s="37" t="s">
        <v>15</v>
      </c>
      <c r="E636" s="37" t="s">
        <v>169</v>
      </c>
      <c r="F636" s="38">
        <v>46211</v>
      </c>
      <c r="G636" s="39">
        <v>46183</v>
      </c>
      <c r="H636" s="41">
        <v>109.01</v>
      </c>
      <c r="I636" s="41">
        <v>44.51</v>
      </c>
      <c r="J636" s="39" t="s">
        <v>1762</v>
      </c>
      <c r="K636" s="36" t="s">
        <v>1763</v>
      </c>
      <c r="L636" s="37" t="s">
        <v>17</v>
      </c>
    </row>
    <row r="637" spans="1:12">
      <c r="A637" s="43" t="s">
        <v>152</v>
      </c>
      <c r="B637" t="s">
        <v>153</v>
      </c>
      <c r="C637" s="50" t="s">
        <v>14</v>
      </c>
      <c r="D637" s="37" t="s">
        <v>15</v>
      </c>
      <c r="E637" s="37" t="s">
        <v>23</v>
      </c>
      <c r="F637" s="38">
        <v>46211</v>
      </c>
      <c r="G637" s="39">
        <v>46183</v>
      </c>
      <c r="H637" s="41">
        <v>109.99</v>
      </c>
      <c r="I637" s="41">
        <v>44.67</v>
      </c>
      <c r="J637" s="39">
        <v>46216</v>
      </c>
      <c r="K637" s="36" t="s">
        <v>1764</v>
      </c>
      <c r="L637" s="37" t="s">
        <v>17</v>
      </c>
    </row>
    <row r="638" spans="1:12">
      <c r="A638" s="43" t="s">
        <v>1765</v>
      </c>
      <c r="B638" t="s">
        <v>1766</v>
      </c>
      <c r="C638" s="50" t="s">
        <v>14</v>
      </c>
      <c r="D638" s="37" t="s">
        <v>15</v>
      </c>
      <c r="E638" s="37" t="s">
        <v>23</v>
      </c>
      <c r="F638" s="38">
        <v>46211</v>
      </c>
      <c r="G638" s="39">
        <v>46183</v>
      </c>
      <c r="H638" s="41">
        <v>109.99</v>
      </c>
      <c r="I638" s="41">
        <v>44.8</v>
      </c>
      <c r="J638" s="39">
        <v>46215</v>
      </c>
      <c r="K638" s="36" t="s">
        <v>1767</v>
      </c>
      <c r="L638" s="37" t="s">
        <v>17</v>
      </c>
    </row>
    <row r="639" spans="1:12">
      <c r="A639" s="43" t="s">
        <v>1768</v>
      </c>
      <c r="B639" t="s">
        <v>1769</v>
      </c>
      <c r="C639" s="50" t="s">
        <v>14</v>
      </c>
      <c r="D639" s="37" t="s">
        <v>15</v>
      </c>
      <c r="E639" s="37" t="s">
        <v>23</v>
      </c>
      <c r="F639" s="38">
        <v>46210</v>
      </c>
      <c r="G639" s="39">
        <v>46183</v>
      </c>
      <c r="H639" s="41">
        <v>95.37</v>
      </c>
      <c r="I639" s="41">
        <v>41.32</v>
      </c>
      <c r="J639" s="39">
        <v>46214</v>
      </c>
      <c r="K639" s="36" t="s">
        <v>1770</v>
      </c>
      <c r="L639" s="37" t="s">
        <v>17</v>
      </c>
    </row>
    <row r="640" spans="1:12">
      <c r="A640" s="43" t="s">
        <v>189</v>
      </c>
      <c r="B640" t="s">
        <v>190</v>
      </c>
      <c r="C640" s="50" t="s">
        <v>14</v>
      </c>
      <c r="D640" s="37" t="s">
        <v>15</v>
      </c>
      <c r="E640" s="37" t="s">
        <v>23</v>
      </c>
      <c r="F640" s="38">
        <v>46212</v>
      </c>
      <c r="G640" s="39">
        <v>46183</v>
      </c>
      <c r="H640" s="41">
        <v>108.18</v>
      </c>
      <c r="I640" s="41">
        <v>44.47</v>
      </c>
      <c r="J640" s="39">
        <v>46217</v>
      </c>
      <c r="K640" s="36" t="s">
        <v>1771</v>
      </c>
      <c r="L640" s="37" t="s">
        <v>17</v>
      </c>
    </row>
    <row r="641" spans="1:12">
      <c r="A641" s="43" t="s">
        <v>1772</v>
      </c>
      <c r="B641" t="s">
        <v>1773</v>
      </c>
      <c r="C641" s="50" t="s">
        <v>14</v>
      </c>
      <c r="D641" s="37" t="s">
        <v>15</v>
      </c>
      <c r="E641" s="37" t="s">
        <v>58</v>
      </c>
      <c r="F641" s="38">
        <v>46210</v>
      </c>
      <c r="G641" s="39">
        <v>46183</v>
      </c>
      <c r="H641" s="41">
        <v>119.99</v>
      </c>
      <c r="I641" s="41">
        <v>50.91</v>
      </c>
      <c r="J641" s="39">
        <v>46213</v>
      </c>
      <c r="K641" s="36" t="s">
        <v>1774</v>
      </c>
      <c r="L641" s="37" t="s">
        <v>17</v>
      </c>
    </row>
    <row r="642" spans="1:12">
      <c r="A642" s="43" t="s">
        <v>1775</v>
      </c>
      <c r="B642" t="s">
        <v>1776</v>
      </c>
      <c r="C642" s="50" t="s">
        <v>14</v>
      </c>
      <c r="D642" s="37" t="s">
        <v>15</v>
      </c>
      <c r="E642" s="37" t="s">
        <v>16</v>
      </c>
      <c r="F642" s="38">
        <v>46202</v>
      </c>
      <c r="G642" s="39">
        <v>46183</v>
      </c>
      <c r="H642" s="41">
        <v>12.03</v>
      </c>
      <c r="I642" s="41"/>
      <c r="J642" s="39">
        <v>46206</v>
      </c>
      <c r="L642" s="37" t="s">
        <v>17</v>
      </c>
    </row>
    <row r="643" spans="1:12">
      <c r="A643" s="43" t="s">
        <v>1777</v>
      </c>
      <c r="B643" s="6" t="s">
        <v>1778</v>
      </c>
      <c r="C643" s="50" t="s">
        <v>14</v>
      </c>
      <c r="D643" s="37" t="s">
        <v>15</v>
      </c>
      <c r="E643" s="37" t="s">
        <v>23</v>
      </c>
      <c r="F643" s="38">
        <v>46212</v>
      </c>
      <c r="G643" s="39">
        <v>46183</v>
      </c>
      <c r="H643" s="41">
        <v>109.63</v>
      </c>
      <c r="I643" s="41">
        <v>44.57</v>
      </c>
      <c r="J643" s="39">
        <v>46217</v>
      </c>
      <c r="K643" s="36" t="s">
        <v>1779</v>
      </c>
      <c r="L643" s="37" t="s">
        <v>17</v>
      </c>
    </row>
    <row r="644" spans="1:12">
      <c r="A644" s="43" t="s">
        <v>1780</v>
      </c>
      <c r="B644" t="s">
        <v>1781</v>
      </c>
      <c r="C644" s="50" t="s">
        <v>14</v>
      </c>
      <c r="D644" s="37" t="s">
        <v>15</v>
      </c>
      <c r="E644" s="37" t="s">
        <v>55</v>
      </c>
      <c r="F644" s="38">
        <v>46211</v>
      </c>
      <c r="G644" s="39">
        <v>46183</v>
      </c>
      <c r="H644" s="41">
        <v>109.99</v>
      </c>
      <c r="I644" s="41">
        <v>78</v>
      </c>
      <c r="J644" s="39">
        <v>46216</v>
      </c>
      <c r="K644" s="36" t="s">
        <v>1782</v>
      </c>
      <c r="L644" s="37" t="s">
        <v>17</v>
      </c>
    </row>
    <row r="645" spans="1:12">
      <c r="A645" s="43" t="s">
        <v>1783</v>
      </c>
      <c r="B645" t="s">
        <v>1784</v>
      </c>
      <c r="C645" s="50" t="s">
        <v>14</v>
      </c>
      <c r="D645" s="37" t="s">
        <v>15</v>
      </c>
      <c r="E645" s="37" t="s">
        <v>58</v>
      </c>
      <c r="F645" s="38">
        <v>46211</v>
      </c>
      <c r="G645" s="39">
        <v>46183</v>
      </c>
      <c r="H645" s="41">
        <v>112.6</v>
      </c>
      <c r="I645" s="41">
        <v>45.69</v>
      </c>
      <c r="J645" s="39">
        <v>46213</v>
      </c>
      <c r="K645" s="36" t="s">
        <v>1785</v>
      </c>
      <c r="L645" s="37" t="s">
        <v>17</v>
      </c>
    </row>
    <row r="646" spans="1:12">
      <c r="A646" s="43" t="s">
        <v>1786</v>
      </c>
      <c r="B646" t="s">
        <v>1787</v>
      </c>
      <c r="C646" s="50" t="s">
        <v>14</v>
      </c>
      <c r="D646" s="37" t="s">
        <v>15</v>
      </c>
      <c r="E646" s="37" t="s">
        <v>16</v>
      </c>
      <c r="F646" s="38">
        <v>46202</v>
      </c>
      <c r="G646" s="39">
        <v>46183</v>
      </c>
      <c r="H646" s="41">
        <v>4.01</v>
      </c>
      <c r="I646" s="41"/>
      <c r="J646" s="39">
        <v>46206</v>
      </c>
      <c r="L646" s="37" t="s">
        <v>17</v>
      </c>
    </row>
    <row r="647" spans="1:12">
      <c r="A647" s="43" t="s">
        <v>227</v>
      </c>
      <c r="B647" t="s">
        <v>228</v>
      </c>
      <c r="C647" s="50" t="s">
        <v>14</v>
      </c>
      <c r="D647" s="37" t="s">
        <v>15</v>
      </c>
      <c r="E647" s="37" t="s">
        <v>55</v>
      </c>
      <c r="F647" s="38">
        <v>46210</v>
      </c>
      <c r="G647" s="39">
        <v>46183</v>
      </c>
      <c r="H647" s="41">
        <v>100.67</v>
      </c>
      <c r="I647" s="41">
        <v>73.849999999999994</v>
      </c>
      <c r="J647" s="39">
        <v>46214</v>
      </c>
      <c r="K647" s="36" t="s">
        <v>1788</v>
      </c>
      <c r="L647" s="37" t="s">
        <v>17</v>
      </c>
    </row>
    <row r="648" spans="1:12">
      <c r="A648" s="43" t="s">
        <v>1789</v>
      </c>
      <c r="B648" s="6" t="s">
        <v>1790</v>
      </c>
      <c r="C648" s="50" t="s">
        <v>14</v>
      </c>
      <c r="D648" s="37" t="s">
        <v>15</v>
      </c>
      <c r="E648" s="37" t="s">
        <v>16</v>
      </c>
      <c r="F648" s="38">
        <v>46202</v>
      </c>
      <c r="G648" s="39">
        <v>46183</v>
      </c>
      <c r="H648" s="41">
        <v>18.38</v>
      </c>
      <c r="I648" s="41"/>
      <c r="J648" s="39">
        <v>46206</v>
      </c>
      <c r="L648" s="37" t="s">
        <v>17</v>
      </c>
    </row>
    <row r="649" spans="1:12">
      <c r="A649" s="43">
        <v>54079765000198</v>
      </c>
      <c r="B649" s="6" t="s">
        <v>1791</v>
      </c>
      <c r="C649" s="50" t="s">
        <v>14</v>
      </c>
      <c r="D649" s="37" t="s">
        <v>15</v>
      </c>
      <c r="E649" s="37" t="s">
        <v>23</v>
      </c>
      <c r="F649" s="38">
        <v>46211</v>
      </c>
      <c r="G649" s="39">
        <v>46183</v>
      </c>
      <c r="H649" s="41">
        <v>111.96</v>
      </c>
      <c r="I649" s="41">
        <v>45.59</v>
      </c>
      <c r="J649" s="39">
        <v>46215</v>
      </c>
      <c r="K649" s="36" t="s">
        <v>1792</v>
      </c>
      <c r="L649" s="37" t="s">
        <v>17</v>
      </c>
    </row>
    <row r="650" spans="1:12">
      <c r="A650" s="43" t="s">
        <v>1793</v>
      </c>
      <c r="B650" t="s">
        <v>1794</v>
      </c>
      <c r="C650" s="50" t="s">
        <v>14</v>
      </c>
      <c r="D650" s="37" t="s">
        <v>15</v>
      </c>
      <c r="E650" s="37" t="s">
        <v>55</v>
      </c>
      <c r="F650" s="38">
        <v>46210</v>
      </c>
      <c r="G650" s="39">
        <v>46183</v>
      </c>
      <c r="H650" s="41">
        <v>109.99</v>
      </c>
      <c r="I650" s="41">
        <v>32.86</v>
      </c>
      <c r="J650" s="39">
        <v>46214</v>
      </c>
      <c r="K650" s="36" t="s">
        <v>1795</v>
      </c>
      <c r="L650" s="37" t="s">
        <v>17</v>
      </c>
    </row>
    <row r="651" spans="1:12">
      <c r="A651" s="43" t="s">
        <v>1796</v>
      </c>
      <c r="B651" t="s">
        <v>1797</v>
      </c>
      <c r="C651" s="50" t="s">
        <v>14</v>
      </c>
      <c r="D651" s="37" t="s">
        <v>15</v>
      </c>
      <c r="E651" s="37" t="s">
        <v>169</v>
      </c>
      <c r="F651" s="38">
        <v>46216</v>
      </c>
      <c r="G651" s="39">
        <v>46183</v>
      </c>
      <c r="H651" s="41">
        <v>109.99</v>
      </c>
      <c r="I651" s="41">
        <v>49.59</v>
      </c>
      <c r="J651" s="39">
        <v>46220</v>
      </c>
      <c r="K651" s="36" t="s">
        <v>1798</v>
      </c>
      <c r="L651" s="37" t="s">
        <v>784</v>
      </c>
    </row>
    <row r="652" spans="1:12">
      <c r="A652" s="43" t="s">
        <v>258</v>
      </c>
      <c r="B652" t="s">
        <v>259</v>
      </c>
      <c r="C652" s="50" t="s">
        <v>14</v>
      </c>
      <c r="D652" s="37" t="s">
        <v>15</v>
      </c>
      <c r="E652" s="37" t="s">
        <v>62</v>
      </c>
      <c r="F652" s="38">
        <v>46212</v>
      </c>
      <c r="G652" s="39">
        <v>46183</v>
      </c>
      <c r="H652" s="44">
        <v>109.99</v>
      </c>
      <c r="I652" s="44">
        <v>16</v>
      </c>
      <c r="J652" s="39" t="s">
        <v>1799</v>
      </c>
      <c r="K652" s="36" t="s">
        <v>1800</v>
      </c>
      <c r="L652" s="37" t="s">
        <v>17</v>
      </c>
    </row>
    <row r="653" spans="1:12">
      <c r="A653" s="43" t="s">
        <v>1801</v>
      </c>
      <c r="B653" t="s">
        <v>1802</v>
      </c>
      <c r="C653" s="50" t="s">
        <v>14</v>
      </c>
      <c r="D653" s="37" t="s">
        <v>15</v>
      </c>
      <c r="E653" s="37" t="s">
        <v>16</v>
      </c>
      <c r="F653" s="38">
        <v>46202</v>
      </c>
      <c r="G653" s="39">
        <v>46183</v>
      </c>
      <c r="H653" s="44">
        <v>16.68</v>
      </c>
      <c r="J653" s="39">
        <v>46206</v>
      </c>
      <c r="L653" s="37" t="s">
        <v>17</v>
      </c>
    </row>
    <row r="654" spans="1:12">
      <c r="A654" s="43" t="s">
        <v>1803</v>
      </c>
      <c r="B654" t="s">
        <v>1804</v>
      </c>
      <c r="C654" s="50" t="s">
        <v>14</v>
      </c>
      <c r="D654" s="37" t="s">
        <v>15</v>
      </c>
      <c r="E654" s="37" t="s">
        <v>23</v>
      </c>
      <c r="F654" s="38">
        <v>46211</v>
      </c>
      <c r="G654" s="39">
        <v>46183</v>
      </c>
      <c r="H654" s="44">
        <v>74.989999999999995</v>
      </c>
      <c r="I654" s="44">
        <v>33.82</v>
      </c>
      <c r="J654" s="39">
        <v>46215</v>
      </c>
      <c r="K654" s="36" t="s">
        <v>1805</v>
      </c>
      <c r="L654" s="37" t="s">
        <v>17</v>
      </c>
    </row>
    <row r="655" spans="1:12">
      <c r="A655" s="43" t="s">
        <v>1806</v>
      </c>
      <c r="B655" t="s">
        <v>1807</v>
      </c>
      <c r="C655" s="50" t="s">
        <v>14</v>
      </c>
      <c r="D655" s="37" t="s">
        <v>15</v>
      </c>
      <c r="E655" s="37" t="s">
        <v>62</v>
      </c>
      <c r="F655" s="38">
        <v>46213</v>
      </c>
      <c r="G655" s="39">
        <v>46183</v>
      </c>
      <c r="H655" s="44">
        <v>106.37</v>
      </c>
      <c r="I655" s="44">
        <v>43.91</v>
      </c>
      <c r="J655" s="39">
        <v>46218</v>
      </c>
      <c r="K655" s="36" t="s">
        <v>1808</v>
      </c>
      <c r="L655" s="37" t="s">
        <v>17</v>
      </c>
    </row>
    <row r="656" spans="1:12">
      <c r="A656" s="43" t="s">
        <v>1809</v>
      </c>
      <c r="B656" t="s">
        <v>1810</v>
      </c>
      <c r="C656" s="50" t="s">
        <v>14</v>
      </c>
      <c r="D656" s="37" t="s">
        <v>15</v>
      </c>
      <c r="E656" s="37" t="s">
        <v>23</v>
      </c>
      <c r="F656" s="38">
        <v>46210</v>
      </c>
      <c r="G656" s="39">
        <v>46183</v>
      </c>
      <c r="H656" s="44">
        <v>109.99</v>
      </c>
      <c r="I656" s="44">
        <v>44.63</v>
      </c>
      <c r="J656" s="39">
        <v>46215</v>
      </c>
      <c r="K656" s="36" t="s">
        <v>1811</v>
      </c>
      <c r="L656" s="37" t="s">
        <v>17</v>
      </c>
    </row>
    <row r="657" spans="1:12">
      <c r="A657" s="43" t="s">
        <v>1812</v>
      </c>
      <c r="B657" t="s">
        <v>1813</v>
      </c>
      <c r="C657" s="50" t="s">
        <v>14</v>
      </c>
      <c r="D657" s="37" t="s">
        <v>15</v>
      </c>
      <c r="E657" s="37" t="s">
        <v>55</v>
      </c>
      <c r="F657" s="38">
        <v>46210</v>
      </c>
      <c r="G657" s="39">
        <v>46183</v>
      </c>
      <c r="H657" s="44">
        <v>60.03</v>
      </c>
      <c r="I657" s="44">
        <v>36.35</v>
      </c>
      <c r="J657" s="39">
        <v>46213</v>
      </c>
      <c r="K657" s="36" t="s">
        <v>1814</v>
      </c>
      <c r="L657" s="37" t="s">
        <v>17</v>
      </c>
    </row>
    <row r="658" spans="1:12">
      <c r="A658" s="43" t="s">
        <v>1815</v>
      </c>
      <c r="B658" t="s">
        <v>1816</v>
      </c>
      <c r="C658" s="50" t="s">
        <v>14</v>
      </c>
      <c r="D658" s="37" t="s">
        <v>15</v>
      </c>
      <c r="E658" s="37" t="s">
        <v>55</v>
      </c>
      <c r="F658" s="38">
        <v>46216</v>
      </c>
      <c r="G658" s="39">
        <v>46183</v>
      </c>
      <c r="H658" s="44">
        <v>69.7</v>
      </c>
      <c r="I658" s="44">
        <v>36.369999999999997</v>
      </c>
      <c r="J658" s="39">
        <v>46221</v>
      </c>
      <c r="K658" s="36" t="s">
        <v>1817</v>
      </c>
      <c r="L658" s="37" t="s">
        <v>784</v>
      </c>
    </row>
    <row r="659" spans="1:12">
      <c r="A659" s="43" t="s">
        <v>1818</v>
      </c>
      <c r="B659" s="6" t="s">
        <v>1819</v>
      </c>
      <c r="C659" s="50" t="s">
        <v>14</v>
      </c>
      <c r="D659" s="37" t="s">
        <v>15</v>
      </c>
      <c r="E659" s="37" t="s">
        <v>55</v>
      </c>
      <c r="F659" s="38">
        <v>46216</v>
      </c>
      <c r="G659" s="39">
        <v>46183</v>
      </c>
      <c r="H659" s="44">
        <v>109.99</v>
      </c>
      <c r="I659" s="44">
        <v>22.68</v>
      </c>
      <c r="J659" s="39">
        <v>46221</v>
      </c>
      <c r="K659" s="36" t="s">
        <v>1820</v>
      </c>
      <c r="L659" s="37" t="s">
        <v>784</v>
      </c>
    </row>
    <row r="660" spans="1:12">
      <c r="A660" s="43" t="s">
        <v>1821</v>
      </c>
      <c r="B660" s="6" t="s">
        <v>1822</v>
      </c>
      <c r="C660" s="50" t="s">
        <v>14</v>
      </c>
      <c r="D660" s="37" t="s">
        <v>15</v>
      </c>
      <c r="E660" s="37" t="s">
        <v>55</v>
      </c>
      <c r="F660" s="38">
        <v>46210</v>
      </c>
      <c r="G660" s="39">
        <v>46183</v>
      </c>
      <c r="H660" s="44">
        <v>48.01</v>
      </c>
      <c r="I660" s="44">
        <v>33.880000000000003</v>
      </c>
      <c r="J660" s="39">
        <v>46214</v>
      </c>
      <c r="K660" s="36" t="s">
        <v>1823</v>
      </c>
      <c r="L660" s="37" t="s">
        <v>17</v>
      </c>
    </row>
    <row r="661" spans="1:12">
      <c r="A661" s="43" t="s">
        <v>328</v>
      </c>
      <c r="B661" t="s">
        <v>329</v>
      </c>
      <c r="C661" s="50" t="s">
        <v>14</v>
      </c>
      <c r="D661" s="37" t="s">
        <v>15</v>
      </c>
      <c r="E661" s="37" t="s">
        <v>23</v>
      </c>
      <c r="F661" s="38">
        <v>46211</v>
      </c>
      <c r="G661" s="39">
        <v>46183</v>
      </c>
      <c r="H661" s="44">
        <v>99.99</v>
      </c>
      <c r="I661" s="44">
        <v>40.33</v>
      </c>
      <c r="J661" s="39">
        <v>46215</v>
      </c>
      <c r="K661" s="36" t="s">
        <v>1824</v>
      </c>
      <c r="L661" s="37" t="s">
        <v>17</v>
      </c>
    </row>
    <row r="662" spans="1:12">
      <c r="A662" s="43" t="s">
        <v>1825</v>
      </c>
      <c r="B662" t="s">
        <v>1826</v>
      </c>
      <c r="C662" s="50" t="s">
        <v>14</v>
      </c>
      <c r="D662" s="37" t="s">
        <v>15</v>
      </c>
      <c r="E662" s="37" t="s">
        <v>55</v>
      </c>
      <c r="F662" s="38">
        <v>46210</v>
      </c>
      <c r="G662" s="39">
        <v>46183</v>
      </c>
      <c r="H662" s="44">
        <v>88.01</v>
      </c>
      <c r="I662" s="44">
        <v>40.11</v>
      </c>
      <c r="J662" s="39">
        <v>46214</v>
      </c>
      <c r="K662" s="36" t="s">
        <v>1827</v>
      </c>
      <c r="L662" s="37" t="s">
        <v>17</v>
      </c>
    </row>
    <row r="663" spans="1:12">
      <c r="A663" s="43" t="s">
        <v>1828</v>
      </c>
      <c r="B663" t="s">
        <v>1829</v>
      </c>
      <c r="C663" s="50" t="s">
        <v>14</v>
      </c>
      <c r="D663" s="37" t="s">
        <v>15</v>
      </c>
      <c r="E663" s="37" t="s">
        <v>55</v>
      </c>
      <c r="F663" s="38">
        <v>46210</v>
      </c>
      <c r="G663" s="39">
        <v>46183</v>
      </c>
      <c r="H663" s="44">
        <v>119.99</v>
      </c>
      <c r="I663" s="44">
        <v>58.68</v>
      </c>
      <c r="J663" s="39">
        <v>46214</v>
      </c>
      <c r="K663" s="36" t="s">
        <v>1830</v>
      </c>
      <c r="L663" s="37" t="s">
        <v>17</v>
      </c>
    </row>
    <row r="664" spans="1:12">
      <c r="A664" s="43" t="s">
        <v>1831</v>
      </c>
      <c r="B664" t="s">
        <v>1832</v>
      </c>
      <c r="C664" s="50" t="s">
        <v>14</v>
      </c>
      <c r="D664" s="37" t="s">
        <v>15</v>
      </c>
      <c r="E664" s="37" t="s">
        <v>23</v>
      </c>
      <c r="F664" s="38">
        <v>46211</v>
      </c>
      <c r="G664" s="39">
        <v>46183</v>
      </c>
      <c r="H664" s="44">
        <v>56.72</v>
      </c>
      <c r="I664" s="44">
        <v>31.97</v>
      </c>
      <c r="J664" s="39">
        <v>46216</v>
      </c>
      <c r="K664" s="36" t="s">
        <v>1833</v>
      </c>
      <c r="L664" s="37" t="s">
        <v>17</v>
      </c>
    </row>
    <row r="665" spans="1:12">
      <c r="A665" s="43" t="s">
        <v>276</v>
      </c>
      <c r="B665" s="6" t="s">
        <v>277</v>
      </c>
      <c r="C665" s="50" t="s">
        <v>14</v>
      </c>
      <c r="D665" s="37" t="s">
        <v>15</v>
      </c>
      <c r="E665" s="37" t="s">
        <v>55</v>
      </c>
      <c r="F665" s="38">
        <v>46211</v>
      </c>
      <c r="G665" s="39">
        <v>46183</v>
      </c>
      <c r="H665" s="44">
        <v>119.99</v>
      </c>
      <c r="I665" s="44">
        <v>35</v>
      </c>
      <c r="J665" s="39">
        <v>46213</v>
      </c>
      <c r="K665" s="36" t="s">
        <v>1834</v>
      </c>
      <c r="L665" s="37" t="s">
        <v>17</v>
      </c>
    </row>
    <row r="666" spans="1:12">
      <c r="A666" s="43" t="s">
        <v>334</v>
      </c>
      <c r="B666" t="s">
        <v>335</v>
      </c>
      <c r="C666" s="50" t="s">
        <v>14</v>
      </c>
      <c r="D666" s="37" t="s">
        <v>15</v>
      </c>
      <c r="E666" s="37" t="s">
        <v>23</v>
      </c>
      <c r="F666" s="38">
        <v>46212</v>
      </c>
      <c r="G666" s="39">
        <v>46183</v>
      </c>
      <c r="H666" s="44">
        <v>109.99</v>
      </c>
      <c r="I666" s="44">
        <v>30</v>
      </c>
      <c r="J666" s="39">
        <v>46214</v>
      </c>
      <c r="K666" s="36" t="s">
        <v>1835</v>
      </c>
      <c r="L666" s="37" t="s">
        <v>17</v>
      </c>
    </row>
    <row r="667" spans="1:12">
      <c r="A667" s="43" t="s">
        <v>1836</v>
      </c>
      <c r="B667" t="s">
        <v>1837</v>
      </c>
      <c r="C667" s="50" t="s">
        <v>14</v>
      </c>
      <c r="D667" s="37" t="s">
        <v>15</v>
      </c>
      <c r="E667" s="37" t="s">
        <v>55</v>
      </c>
      <c r="F667" s="38">
        <v>46212</v>
      </c>
      <c r="G667" s="39">
        <v>46183</v>
      </c>
      <c r="H667" s="41">
        <v>40.36</v>
      </c>
      <c r="I667" s="44">
        <v>30</v>
      </c>
      <c r="J667" s="39">
        <v>46216</v>
      </c>
      <c r="K667" s="36" t="s">
        <v>1838</v>
      </c>
      <c r="L667" s="37" t="s">
        <v>17</v>
      </c>
    </row>
    <row r="668" spans="1:12">
      <c r="A668" s="43" t="s">
        <v>1839</v>
      </c>
      <c r="B668" t="s">
        <v>1840</v>
      </c>
      <c r="C668" s="50" t="s">
        <v>14</v>
      </c>
      <c r="D668" s="37" t="s">
        <v>15</v>
      </c>
      <c r="E668" s="37" t="s">
        <v>16</v>
      </c>
      <c r="F668" s="38">
        <v>46202</v>
      </c>
      <c r="G668" s="39">
        <v>46183</v>
      </c>
      <c r="H668" s="41">
        <v>11.05</v>
      </c>
      <c r="J668" s="39">
        <v>46206</v>
      </c>
      <c r="L668" s="37" t="s">
        <v>17</v>
      </c>
    </row>
    <row r="669" spans="1:12">
      <c r="A669" s="43" t="s">
        <v>1841</v>
      </c>
      <c r="B669" t="s">
        <v>1842</v>
      </c>
      <c r="C669" s="50" t="s">
        <v>14</v>
      </c>
      <c r="D669" s="37" t="s">
        <v>15</v>
      </c>
      <c r="E669" s="37" t="s">
        <v>16</v>
      </c>
      <c r="F669" s="38">
        <v>46202</v>
      </c>
      <c r="G669" s="39">
        <v>46183</v>
      </c>
      <c r="H669" s="41">
        <v>16.03</v>
      </c>
      <c r="J669" s="39">
        <v>46206</v>
      </c>
      <c r="L669" s="37" t="s">
        <v>17</v>
      </c>
    </row>
    <row r="670" spans="1:12">
      <c r="A670" s="43" t="s">
        <v>448</v>
      </c>
      <c r="B670" s="6" t="s">
        <v>449</v>
      </c>
      <c r="C670" s="50" t="s">
        <v>14</v>
      </c>
      <c r="D670" s="37" t="s">
        <v>15</v>
      </c>
      <c r="E670" s="37" t="s">
        <v>58</v>
      </c>
      <c r="F670" s="38">
        <v>46211</v>
      </c>
      <c r="G670" s="39">
        <v>46183</v>
      </c>
      <c r="H670" s="41">
        <v>49.99</v>
      </c>
      <c r="I670" s="44">
        <v>27.48</v>
      </c>
      <c r="J670" s="39">
        <v>46213</v>
      </c>
      <c r="K670" s="36" t="s">
        <v>1843</v>
      </c>
      <c r="L670" s="37" t="s">
        <v>17</v>
      </c>
    </row>
    <row r="671" spans="1:12">
      <c r="A671" s="43" t="s">
        <v>1844</v>
      </c>
      <c r="B671" t="s">
        <v>1845</v>
      </c>
      <c r="C671" s="50" t="s">
        <v>14</v>
      </c>
      <c r="D671" s="37" t="s">
        <v>15</v>
      </c>
      <c r="E671" s="37" t="s">
        <v>55</v>
      </c>
      <c r="F671" s="38">
        <v>46211</v>
      </c>
      <c r="G671" s="39">
        <v>46183</v>
      </c>
      <c r="H671" s="41">
        <v>59.99</v>
      </c>
      <c r="I671" s="44">
        <v>30</v>
      </c>
      <c r="J671" s="39">
        <v>46213</v>
      </c>
      <c r="K671" s="36" t="s">
        <v>1846</v>
      </c>
      <c r="L671" s="37" t="s">
        <v>17</v>
      </c>
    </row>
    <row r="672" spans="1:12">
      <c r="A672" s="43" t="s">
        <v>1847</v>
      </c>
      <c r="B672" t="s">
        <v>1848</v>
      </c>
      <c r="C672" s="50" t="s">
        <v>14</v>
      </c>
      <c r="D672" s="37" t="s">
        <v>783</v>
      </c>
      <c r="F672" s="38">
        <v>46218</v>
      </c>
      <c r="G672" s="39">
        <v>46183</v>
      </c>
      <c r="H672" s="41">
        <v>101.16</v>
      </c>
      <c r="L672" s="37" t="s">
        <v>784</v>
      </c>
    </row>
    <row r="673" spans="1:12">
      <c r="A673" s="43" t="s">
        <v>1849</v>
      </c>
      <c r="B673" t="s">
        <v>1850</v>
      </c>
      <c r="C673" s="50" t="s">
        <v>14</v>
      </c>
      <c r="D673" s="37" t="s">
        <v>15</v>
      </c>
      <c r="E673" s="37" t="s">
        <v>55</v>
      </c>
      <c r="F673" s="38">
        <v>46211</v>
      </c>
      <c r="G673" s="39">
        <v>46183</v>
      </c>
      <c r="H673" s="41">
        <v>99.99</v>
      </c>
      <c r="I673" s="44">
        <v>49.7</v>
      </c>
      <c r="J673" s="39">
        <v>46213</v>
      </c>
      <c r="K673" s="36" t="s">
        <v>1851</v>
      </c>
      <c r="L673" s="37" t="s">
        <v>17</v>
      </c>
    </row>
    <row r="674" spans="1:12">
      <c r="A674" s="43" t="s">
        <v>1852</v>
      </c>
      <c r="B674" t="s">
        <v>1853</v>
      </c>
      <c r="C674" s="50" t="s">
        <v>14</v>
      </c>
      <c r="D674" s="37" t="s">
        <v>15</v>
      </c>
      <c r="E674" s="37" t="s">
        <v>169</v>
      </c>
      <c r="F674" s="38">
        <v>46213</v>
      </c>
      <c r="G674" s="39">
        <v>46183</v>
      </c>
      <c r="H674" s="41">
        <v>99.99</v>
      </c>
      <c r="I674" s="44">
        <v>20.56</v>
      </c>
      <c r="J674" s="39">
        <v>46217</v>
      </c>
      <c r="K674" s="36" t="s">
        <v>1854</v>
      </c>
      <c r="L674" s="37" t="s">
        <v>17</v>
      </c>
    </row>
    <row r="675" spans="1:12">
      <c r="A675" s="43" t="s">
        <v>1855</v>
      </c>
      <c r="B675" t="s">
        <v>1856</v>
      </c>
      <c r="C675" s="50" t="s">
        <v>14</v>
      </c>
      <c r="D675" s="37" t="s">
        <v>15</v>
      </c>
      <c r="E675" s="37" t="s">
        <v>16</v>
      </c>
      <c r="F675" s="38">
        <v>46202</v>
      </c>
      <c r="G675" s="39">
        <v>46183</v>
      </c>
      <c r="H675" s="41">
        <v>23.31</v>
      </c>
      <c r="J675" s="39">
        <v>46206</v>
      </c>
      <c r="L675" s="37" t="s">
        <v>17</v>
      </c>
    </row>
    <row r="676" spans="1:12">
      <c r="A676" s="43" t="s">
        <v>1857</v>
      </c>
      <c r="B676" t="s">
        <v>1858</v>
      </c>
      <c r="C676" s="50" t="s">
        <v>14</v>
      </c>
      <c r="D676" s="37" t="s">
        <v>15</v>
      </c>
      <c r="E676" s="37" t="s">
        <v>55</v>
      </c>
      <c r="F676" s="38">
        <v>46211</v>
      </c>
      <c r="G676" s="39">
        <v>46183</v>
      </c>
      <c r="H676" s="41">
        <v>109.99</v>
      </c>
      <c r="I676" s="44">
        <v>22.35</v>
      </c>
      <c r="J676" s="39">
        <v>46214</v>
      </c>
      <c r="K676" s="36" t="s">
        <v>1859</v>
      </c>
      <c r="L676" s="37" t="s">
        <v>17</v>
      </c>
    </row>
    <row r="677" spans="1:12">
      <c r="A677" s="43" t="s">
        <v>1860</v>
      </c>
      <c r="B677" t="s">
        <v>1861</v>
      </c>
      <c r="C677" s="50" t="s">
        <v>14</v>
      </c>
      <c r="D677" s="37" t="s">
        <v>15</v>
      </c>
      <c r="E677" s="37" t="s">
        <v>55</v>
      </c>
      <c r="F677" s="38">
        <v>46212</v>
      </c>
      <c r="G677" s="39">
        <v>46183</v>
      </c>
      <c r="H677" s="41">
        <v>76.7</v>
      </c>
      <c r="I677" s="44">
        <v>30</v>
      </c>
      <c r="J677" s="39">
        <v>46216</v>
      </c>
      <c r="K677" s="36" t="s">
        <v>1862</v>
      </c>
      <c r="L677" s="37" t="s">
        <v>17</v>
      </c>
    </row>
    <row r="678" spans="1:12">
      <c r="A678" s="43" t="s">
        <v>1863</v>
      </c>
      <c r="B678" t="s">
        <v>1864</v>
      </c>
      <c r="C678" s="50" t="s">
        <v>14</v>
      </c>
      <c r="D678" s="37" t="s">
        <v>15</v>
      </c>
      <c r="E678" s="37" t="s">
        <v>16</v>
      </c>
      <c r="F678" s="38">
        <v>46202</v>
      </c>
      <c r="G678" s="39">
        <v>46183</v>
      </c>
      <c r="H678" s="41">
        <v>24.01</v>
      </c>
      <c r="J678" s="39">
        <v>46206</v>
      </c>
      <c r="L678" s="37" t="s">
        <v>17</v>
      </c>
    </row>
    <row r="679" spans="1:12">
      <c r="A679" s="43" t="s">
        <v>1865</v>
      </c>
      <c r="B679" t="s">
        <v>1866</v>
      </c>
      <c r="C679" s="50" t="s">
        <v>14</v>
      </c>
      <c r="D679" s="37" t="s">
        <v>15</v>
      </c>
      <c r="E679" s="37" t="s">
        <v>55</v>
      </c>
      <c r="F679" s="38">
        <v>46211</v>
      </c>
      <c r="G679" s="39">
        <v>46183</v>
      </c>
      <c r="H679" s="41">
        <v>62.35</v>
      </c>
      <c r="I679" s="44">
        <v>34.83</v>
      </c>
      <c r="J679" s="39">
        <v>46213</v>
      </c>
      <c r="K679" s="36" t="s">
        <v>1867</v>
      </c>
      <c r="L679" s="37" t="s">
        <v>17</v>
      </c>
    </row>
    <row r="680" spans="1:12">
      <c r="A680" s="43" t="s">
        <v>1868</v>
      </c>
      <c r="B680" t="s">
        <v>1869</v>
      </c>
      <c r="C680" s="50" t="s">
        <v>14</v>
      </c>
      <c r="D680" s="37" t="s">
        <v>15</v>
      </c>
      <c r="E680" s="37" t="s">
        <v>58</v>
      </c>
      <c r="F680" s="38">
        <v>46211</v>
      </c>
      <c r="G680" s="39">
        <v>46183</v>
      </c>
      <c r="H680" s="41">
        <v>109.99</v>
      </c>
      <c r="I680" s="44">
        <v>25.56</v>
      </c>
      <c r="J680" s="39">
        <v>46213</v>
      </c>
      <c r="K680" s="36" t="s">
        <v>1870</v>
      </c>
      <c r="L680" s="37" t="s">
        <v>17</v>
      </c>
    </row>
    <row r="681" spans="1:12">
      <c r="A681">
        <v>49619136000173</v>
      </c>
      <c r="B681" t="s">
        <v>1871</v>
      </c>
      <c r="C681" s="37" t="s">
        <v>473</v>
      </c>
      <c r="D681" s="37" t="s">
        <v>783</v>
      </c>
      <c r="E681" s="37" t="s">
        <v>20</v>
      </c>
      <c r="F681" s="38">
        <v>46218</v>
      </c>
      <c r="G681" s="17" t="s">
        <v>1872</v>
      </c>
      <c r="H681" s="54">
        <v>106.17</v>
      </c>
      <c r="J681" s="39">
        <v>46207</v>
      </c>
      <c r="L681" s="37" t="s">
        <v>784</v>
      </c>
    </row>
    <row r="682" spans="1:12">
      <c r="A682" t="s">
        <v>1278</v>
      </c>
      <c r="B682" t="s">
        <v>1279</v>
      </c>
      <c r="C682" s="37" t="s">
        <v>473</v>
      </c>
      <c r="D682" s="37" t="s">
        <v>15</v>
      </c>
      <c r="E682" s="37" t="s">
        <v>20</v>
      </c>
      <c r="F682" s="38">
        <v>46202</v>
      </c>
      <c r="G682" s="17" t="s">
        <v>1872</v>
      </c>
      <c r="H682" s="54">
        <v>199.98</v>
      </c>
      <c r="I682" s="44">
        <v>30.26</v>
      </c>
      <c r="J682" s="39">
        <v>46207</v>
      </c>
      <c r="K682" s="36" t="s">
        <v>1873</v>
      </c>
      <c r="L682" s="37" t="s">
        <v>17</v>
      </c>
    </row>
    <row r="683" spans="1:12">
      <c r="A683" t="s">
        <v>1874</v>
      </c>
      <c r="B683" t="s">
        <v>1875</v>
      </c>
      <c r="C683" s="37" t="s">
        <v>473</v>
      </c>
      <c r="D683" s="37" t="s">
        <v>15</v>
      </c>
      <c r="E683" s="37" t="s">
        <v>20</v>
      </c>
      <c r="F683" s="38">
        <v>46202</v>
      </c>
      <c r="G683" s="17">
        <v>46122</v>
      </c>
      <c r="H683" s="54">
        <v>82.54</v>
      </c>
      <c r="I683" s="44">
        <v>31.76</v>
      </c>
      <c r="J683" s="39">
        <v>46207</v>
      </c>
      <c r="K683" s="36" t="s">
        <v>1876</v>
      </c>
      <c r="L683" s="37" t="s">
        <v>17</v>
      </c>
    </row>
    <row r="684" spans="1:12">
      <c r="A684" t="s">
        <v>1314</v>
      </c>
      <c r="B684" t="s">
        <v>1315</v>
      </c>
      <c r="C684" s="37" t="s">
        <v>473</v>
      </c>
      <c r="D684" s="37" t="s">
        <v>15</v>
      </c>
      <c r="E684" s="37" t="s">
        <v>20</v>
      </c>
      <c r="F684" s="38">
        <v>46202</v>
      </c>
      <c r="G684" s="17">
        <v>46122</v>
      </c>
      <c r="H684" s="54">
        <v>199.96</v>
      </c>
      <c r="I684" s="44">
        <v>50.36</v>
      </c>
      <c r="J684" s="39">
        <v>46207</v>
      </c>
      <c r="K684" s="36" t="s">
        <v>1877</v>
      </c>
      <c r="L684" s="37" t="s">
        <v>17</v>
      </c>
    </row>
    <row r="685" spans="1:12">
      <c r="A685" t="s">
        <v>1878</v>
      </c>
      <c r="B685" t="s">
        <v>1879</v>
      </c>
      <c r="C685" s="37" t="s">
        <v>473</v>
      </c>
      <c r="D685" s="37" t="s">
        <v>15</v>
      </c>
      <c r="E685" s="37" t="s">
        <v>20</v>
      </c>
      <c r="F685" s="38">
        <v>46202</v>
      </c>
      <c r="G685" s="17" t="s">
        <v>1872</v>
      </c>
      <c r="H685" s="54">
        <v>384.85</v>
      </c>
      <c r="I685" s="44">
        <v>609.69000000000005</v>
      </c>
      <c r="J685" s="39">
        <v>46207</v>
      </c>
      <c r="K685" s="36" t="s">
        <v>1880</v>
      </c>
      <c r="L685" s="37" t="s">
        <v>17</v>
      </c>
    </row>
    <row r="686" spans="1:12">
      <c r="A686" t="s">
        <v>1329</v>
      </c>
      <c r="B686" t="s">
        <v>1330</v>
      </c>
      <c r="C686" s="37" t="s">
        <v>473</v>
      </c>
      <c r="D686" s="37" t="s">
        <v>15</v>
      </c>
      <c r="E686" s="37" t="s">
        <v>20</v>
      </c>
      <c r="F686" s="38">
        <v>46202</v>
      </c>
      <c r="G686" s="17">
        <v>46122</v>
      </c>
      <c r="H686" s="54">
        <v>101.98</v>
      </c>
      <c r="I686" s="44">
        <v>35.119999999999997</v>
      </c>
      <c r="J686" s="39">
        <v>46207</v>
      </c>
      <c r="K686" s="36" t="s">
        <v>1881</v>
      </c>
      <c r="L686" s="37" t="s">
        <v>17</v>
      </c>
    </row>
    <row r="687" spans="1:12">
      <c r="A687" t="s">
        <v>1882</v>
      </c>
      <c r="B687" t="s">
        <v>1883</v>
      </c>
      <c r="C687" s="37" t="s">
        <v>473</v>
      </c>
      <c r="D687" s="37" t="s">
        <v>15</v>
      </c>
      <c r="E687" s="37" t="s">
        <v>20</v>
      </c>
      <c r="F687" s="38">
        <v>46202</v>
      </c>
      <c r="G687" s="17" t="s">
        <v>1872</v>
      </c>
      <c r="H687" s="54">
        <v>79.989999999999995</v>
      </c>
      <c r="I687" s="44">
        <v>34.6</v>
      </c>
      <c r="J687" s="39">
        <v>46207</v>
      </c>
      <c r="K687" s="36" t="s">
        <v>1884</v>
      </c>
      <c r="L687" s="37" t="s">
        <v>17</v>
      </c>
    </row>
    <row r="688" spans="1:12">
      <c r="A688" t="s">
        <v>1885</v>
      </c>
      <c r="B688" t="s">
        <v>1886</v>
      </c>
      <c r="C688" s="37" t="s">
        <v>473</v>
      </c>
      <c r="D688" s="37" t="s">
        <v>15</v>
      </c>
      <c r="E688" s="37" t="s">
        <v>20</v>
      </c>
      <c r="F688" s="38">
        <v>46202</v>
      </c>
      <c r="G688" s="17" t="s">
        <v>1872</v>
      </c>
      <c r="H688" s="54">
        <v>79.989999999999995</v>
      </c>
      <c r="I688" s="44">
        <v>27.04</v>
      </c>
      <c r="J688" s="39">
        <v>46207</v>
      </c>
      <c r="K688" s="36" t="s">
        <v>1887</v>
      </c>
      <c r="L688" s="37" t="s">
        <v>17</v>
      </c>
    </row>
    <row r="689" spans="1:12">
      <c r="A689" t="s">
        <v>1888</v>
      </c>
      <c r="B689" t="s">
        <v>1889</v>
      </c>
      <c r="C689" s="37" t="s">
        <v>473</v>
      </c>
      <c r="D689" s="37" t="s">
        <v>15</v>
      </c>
      <c r="E689" s="37" t="s">
        <v>20</v>
      </c>
      <c r="F689" s="38">
        <v>46202</v>
      </c>
      <c r="G689" s="17" t="s">
        <v>1872</v>
      </c>
      <c r="H689" s="54">
        <v>169.98</v>
      </c>
      <c r="I689" s="44">
        <v>73.459999999999994</v>
      </c>
      <c r="J689" s="39">
        <v>46207</v>
      </c>
      <c r="K689" s="36" t="s">
        <v>1890</v>
      </c>
      <c r="L689" s="37" t="s">
        <v>17</v>
      </c>
    </row>
    <row r="690" spans="1:12">
      <c r="A690" t="s">
        <v>1891</v>
      </c>
      <c r="B690" t="s">
        <v>1892</v>
      </c>
      <c r="C690" s="37" t="s">
        <v>473</v>
      </c>
      <c r="D690" s="37" t="s">
        <v>15</v>
      </c>
      <c r="E690" s="37" t="s">
        <v>20</v>
      </c>
      <c r="F690" s="38">
        <v>46202</v>
      </c>
      <c r="G690" s="17" t="s">
        <v>1872</v>
      </c>
      <c r="H690" s="54">
        <v>59.99</v>
      </c>
      <c r="I690" s="44">
        <v>27.05</v>
      </c>
      <c r="J690" s="39">
        <v>46207</v>
      </c>
      <c r="K690" s="36" t="s">
        <v>1893</v>
      </c>
      <c r="L690" s="37" t="s">
        <v>17</v>
      </c>
    </row>
    <row r="691" spans="1:12">
      <c r="A691">
        <v>14797680000120</v>
      </c>
      <c r="B691" t="s">
        <v>1216</v>
      </c>
      <c r="C691" s="37" t="s">
        <v>473</v>
      </c>
      <c r="D691" s="37" t="s">
        <v>783</v>
      </c>
      <c r="E691" s="37" t="s">
        <v>20</v>
      </c>
      <c r="F691" s="38">
        <v>46218</v>
      </c>
      <c r="G691" s="17" t="s">
        <v>1894</v>
      </c>
      <c r="H691" s="54">
        <v>101.26</v>
      </c>
      <c r="J691" s="39">
        <v>46208</v>
      </c>
      <c r="L691" s="37" t="s">
        <v>784</v>
      </c>
    </row>
    <row r="692" spans="1:12">
      <c r="A692" t="s">
        <v>1220</v>
      </c>
      <c r="B692" t="s">
        <v>1221</v>
      </c>
      <c r="C692" s="37" t="s">
        <v>473</v>
      </c>
      <c r="D692" s="37" t="s">
        <v>15</v>
      </c>
      <c r="E692" s="37" t="s">
        <v>20</v>
      </c>
      <c r="F692" s="38">
        <v>46204</v>
      </c>
      <c r="G692" s="17" t="s">
        <v>1894</v>
      </c>
      <c r="H692" s="54">
        <v>93.98</v>
      </c>
      <c r="I692" s="44">
        <v>27.45</v>
      </c>
      <c r="J692" s="39">
        <v>46208</v>
      </c>
      <c r="K692" s="36" t="s">
        <v>1895</v>
      </c>
      <c r="L692" s="37" t="s">
        <v>17</v>
      </c>
    </row>
    <row r="693" spans="1:12">
      <c r="A693" t="s">
        <v>1226</v>
      </c>
      <c r="B693" t="s">
        <v>1227</v>
      </c>
      <c r="C693" s="37" t="s">
        <v>473</v>
      </c>
      <c r="D693" s="37" t="s">
        <v>15</v>
      </c>
      <c r="E693" s="37" t="s">
        <v>20</v>
      </c>
      <c r="F693" s="38">
        <v>46204</v>
      </c>
      <c r="G693" s="17" t="s">
        <v>1894</v>
      </c>
      <c r="H693" s="54">
        <v>245.02</v>
      </c>
      <c r="I693" s="44">
        <v>70.819999999999993</v>
      </c>
      <c r="J693" s="39">
        <v>46208</v>
      </c>
      <c r="K693" s="36" t="s">
        <v>1896</v>
      </c>
      <c r="L693" s="37" t="s">
        <v>17</v>
      </c>
    </row>
    <row r="694" spans="1:12">
      <c r="A694" t="s">
        <v>1897</v>
      </c>
      <c r="B694" t="s">
        <v>1898</v>
      </c>
      <c r="C694" s="37" t="s">
        <v>473</v>
      </c>
      <c r="D694" s="37" t="s">
        <v>15</v>
      </c>
      <c r="E694" s="37" t="s">
        <v>20</v>
      </c>
      <c r="F694" s="38">
        <v>46204</v>
      </c>
      <c r="G694" s="17" t="s">
        <v>1872</v>
      </c>
      <c r="H694" s="54">
        <v>43.64</v>
      </c>
      <c r="I694" s="44">
        <v>12.18</v>
      </c>
      <c r="J694" s="39">
        <v>46208</v>
      </c>
      <c r="K694" s="36" t="s">
        <v>1899</v>
      </c>
      <c r="L694" s="37" t="s">
        <v>17</v>
      </c>
    </row>
    <row r="695" spans="1:12">
      <c r="A695" t="s">
        <v>1900</v>
      </c>
      <c r="B695" t="s">
        <v>1901</v>
      </c>
      <c r="C695" s="37" t="s">
        <v>473</v>
      </c>
      <c r="D695" s="37" t="s">
        <v>15</v>
      </c>
      <c r="E695" s="37" t="s">
        <v>16</v>
      </c>
      <c r="F695" s="38">
        <v>46203</v>
      </c>
      <c r="G695" s="17" t="s">
        <v>1872</v>
      </c>
      <c r="H695" s="54">
        <v>2.57</v>
      </c>
      <c r="J695" s="39">
        <v>46206</v>
      </c>
      <c r="L695" s="37" t="s">
        <v>17</v>
      </c>
    </row>
    <row r="696" spans="1:12">
      <c r="A696" t="s">
        <v>1902</v>
      </c>
      <c r="B696" t="s">
        <v>1903</v>
      </c>
      <c r="C696" s="37" t="s">
        <v>473</v>
      </c>
      <c r="D696" s="37" t="s">
        <v>15</v>
      </c>
      <c r="E696" s="37" t="s">
        <v>20</v>
      </c>
      <c r="F696" s="38">
        <v>46204</v>
      </c>
      <c r="G696" s="17" t="s">
        <v>1872</v>
      </c>
      <c r="H696" s="54">
        <v>55.14</v>
      </c>
      <c r="I696" s="44">
        <v>16.12</v>
      </c>
      <c r="J696" s="39">
        <v>46208</v>
      </c>
      <c r="K696" s="36" t="s">
        <v>1904</v>
      </c>
      <c r="L696" s="37" t="s">
        <v>17</v>
      </c>
    </row>
    <row r="697" spans="1:12">
      <c r="A697" t="s">
        <v>1905</v>
      </c>
      <c r="B697" t="s">
        <v>1906</v>
      </c>
      <c r="C697" s="37" t="s">
        <v>473</v>
      </c>
      <c r="D697" s="37" t="s">
        <v>15</v>
      </c>
      <c r="E697" s="37" t="s">
        <v>20</v>
      </c>
      <c r="F697" s="38">
        <v>46204</v>
      </c>
      <c r="G697" s="17" t="s">
        <v>1872</v>
      </c>
      <c r="H697" s="54">
        <v>153.56</v>
      </c>
      <c r="I697" s="44">
        <v>43.05</v>
      </c>
      <c r="J697" s="39">
        <v>46208</v>
      </c>
      <c r="K697" s="36" t="s">
        <v>1907</v>
      </c>
      <c r="L697" s="37" t="s">
        <v>17</v>
      </c>
    </row>
    <row r="698" spans="1:12">
      <c r="A698" t="s">
        <v>1229</v>
      </c>
      <c r="B698" t="s">
        <v>1230</v>
      </c>
      <c r="C698" s="37" t="s">
        <v>473</v>
      </c>
      <c r="D698" s="37" t="s">
        <v>15</v>
      </c>
      <c r="E698" s="37" t="s">
        <v>20</v>
      </c>
      <c r="F698" s="38">
        <v>46204</v>
      </c>
      <c r="G698" s="17" t="s">
        <v>1894</v>
      </c>
      <c r="H698" s="54">
        <v>61.58</v>
      </c>
      <c r="I698" s="44">
        <v>17.75</v>
      </c>
      <c r="J698" s="39">
        <v>46208</v>
      </c>
      <c r="K698" s="36" t="s">
        <v>1908</v>
      </c>
      <c r="L698" s="37" t="s">
        <v>17</v>
      </c>
    </row>
    <row r="699" spans="1:12">
      <c r="A699" t="s">
        <v>1232</v>
      </c>
      <c r="B699" t="s">
        <v>1233</v>
      </c>
      <c r="C699" s="37" t="s">
        <v>473</v>
      </c>
      <c r="D699" s="37" t="s">
        <v>15</v>
      </c>
      <c r="E699" s="37" t="s">
        <v>20</v>
      </c>
      <c r="F699" s="38">
        <v>46204</v>
      </c>
      <c r="G699" s="17" t="s">
        <v>1894</v>
      </c>
      <c r="H699" s="54">
        <v>777.18</v>
      </c>
      <c r="I699" s="44">
        <v>114.03</v>
      </c>
      <c r="J699" s="39">
        <v>46208</v>
      </c>
      <c r="K699" s="36" t="s">
        <v>1909</v>
      </c>
      <c r="L699" s="37" t="s">
        <v>17</v>
      </c>
    </row>
    <row r="700" spans="1:12">
      <c r="A700" t="s">
        <v>1910</v>
      </c>
      <c r="B700" t="s">
        <v>1911</v>
      </c>
      <c r="C700" s="37" t="s">
        <v>473</v>
      </c>
      <c r="D700" s="37" t="s">
        <v>15</v>
      </c>
      <c r="E700" s="37" t="s">
        <v>20</v>
      </c>
      <c r="F700" s="38">
        <v>46204</v>
      </c>
      <c r="G700" s="17" t="s">
        <v>1872</v>
      </c>
      <c r="H700" s="54">
        <v>43.2</v>
      </c>
      <c r="I700" s="44">
        <v>12.12</v>
      </c>
      <c r="J700" s="39">
        <v>46208</v>
      </c>
      <c r="K700" s="36" t="s">
        <v>1912</v>
      </c>
      <c r="L700" s="37" t="s">
        <v>17</v>
      </c>
    </row>
    <row r="701" spans="1:12">
      <c r="A701" t="s">
        <v>1913</v>
      </c>
      <c r="B701" t="s">
        <v>1914</v>
      </c>
      <c r="C701" s="37" t="s">
        <v>473</v>
      </c>
      <c r="D701" s="37" t="s">
        <v>15</v>
      </c>
      <c r="E701" s="37" t="s">
        <v>20</v>
      </c>
      <c r="F701" s="38">
        <v>46205</v>
      </c>
      <c r="G701" s="39">
        <v>46119</v>
      </c>
      <c r="H701" s="41">
        <v>6692.46</v>
      </c>
      <c r="I701" s="44">
        <v>1467.12</v>
      </c>
      <c r="J701" s="39">
        <v>46210</v>
      </c>
      <c r="K701" s="36" t="s">
        <v>1915</v>
      </c>
      <c r="L701" s="37" t="s">
        <v>17</v>
      </c>
    </row>
    <row r="702" spans="1:12">
      <c r="A702" t="s">
        <v>1223</v>
      </c>
      <c r="B702" t="s">
        <v>1224</v>
      </c>
      <c r="C702" s="37" t="s">
        <v>473</v>
      </c>
      <c r="D702" s="37" t="s">
        <v>15</v>
      </c>
      <c r="E702" s="37" t="s">
        <v>20</v>
      </c>
      <c r="F702" s="38">
        <v>46205</v>
      </c>
      <c r="G702" s="39">
        <v>46119</v>
      </c>
      <c r="H702" s="54">
        <v>347.98</v>
      </c>
      <c r="I702" s="44">
        <v>131.19999999999999</v>
      </c>
      <c r="J702" s="39">
        <v>46210</v>
      </c>
      <c r="K702" s="36" t="s">
        <v>1916</v>
      </c>
      <c r="L702" s="37" t="s">
        <v>17</v>
      </c>
    </row>
    <row r="703" spans="1:12">
      <c r="A703" t="s">
        <v>1235</v>
      </c>
      <c r="B703" t="s">
        <v>1236</v>
      </c>
      <c r="C703" s="37" t="s">
        <v>473</v>
      </c>
      <c r="D703" s="37" t="s">
        <v>15</v>
      </c>
      <c r="E703" s="37" t="s">
        <v>20</v>
      </c>
      <c r="F703" s="38">
        <v>46205</v>
      </c>
      <c r="G703" s="39">
        <v>46119</v>
      </c>
      <c r="H703" s="54">
        <v>2643.44</v>
      </c>
      <c r="I703" s="44">
        <v>556.79999999999995</v>
      </c>
      <c r="J703" s="39">
        <v>46210</v>
      </c>
      <c r="K703" s="36" t="s">
        <v>1917</v>
      </c>
      <c r="L703" s="37" t="s">
        <v>17</v>
      </c>
    </row>
    <row r="704" spans="1:12">
      <c r="A704" t="s">
        <v>1918</v>
      </c>
      <c r="B704" t="s">
        <v>1919</v>
      </c>
      <c r="C704" s="37" t="s">
        <v>473</v>
      </c>
      <c r="D704" s="37" t="s">
        <v>15</v>
      </c>
      <c r="E704" s="37" t="s">
        <v>16</v>
      </c>
      <c r="F704" s="38">
        <v>46205</v>
      </c>
      <c r="G704" s="17" t="s">
        <v>1872</v>
      </c>
      <c r="H704" s="54">
        <v>32.200000000000003</v>
      </c>
      <c r="L704" s="37" t="s">
        <v>17</v>
      </c>
    </row>
    <row r="705" spans="1:12">
      <c r="A705" t="s">
        <v>1920</v>
      </c>
      <c r="B705" t="s">
        <v>1921</v>
      </c>
      <c r="C705" s="37" t="s">
        <v>473</v>
      </c>
      <c r="D705" s="37" t="s">
        <v>15</v>
      </c>
      <c r="E705" s="37" t="s">
        <v>16</v>
      </c>
      <c r="F705" s="38">
        <v>46205</v>
      </c>
      <c r="G705" s="17" t="s">
        <v>1872</v>
      </c>
      <c r="H705" s="54">
        <v>2.1</v>
      </c>
      <c r="L705" s="37" t="s">
        <v>17</v>
      </c>
    </row>
    <row r="706" spans="1:12">
      <c r="A706" t="s">
        <v>1922</v>
      </c>
      <c r="B706" t="s">
        <v>1923</v>
      </c>
      <c r="C706" s="37" t="s">
        <v>473</v>
      </c>
      <c r="D706" s="37" t="s">
        <v>15</v>
      </c>
      <c r="E706" s="37" t="s">
        <v>16</v>
      </c>
      <c r="F706" s="38">
        <v>46205</v>
      </c>
      <c r="G706" s="17" t="s">
        <v>1872</v>
      </c>
      <c r="H706" s="54">
        <v>7.2</v>
      </c>
      <c r="L706" s="37" t="s">
        <v>17</v>
      </c>
    </row>
    <row r="707" spans="1:12">
      <c r="A707" t="s">
        <v>1924</v>
      </c>
      <c r="B707" t="s">
        <v>1925</v>
      </c>
      <c r="C707" s="37" t="s">
        <v>473</v>
      </c>
      <c r="D707" s="37" t="s">
        <v>15</v>
      </c>
      <c r="E707" s="37" t="s">
        <v>16</v>
      </c>
      <c r="F707" s="38">
        <v>46205</v>
      </c>
      <c r="G707" s="17" t="s">
        <v>1872</v>
      </c>
      <c r="H707" s="54">
        <v>3.54</v>
      </c>
      <c r="L707" s="37" t="s">
        <v>17</v>
      </c>
    </row>
    <row r="708" spans="1:12">
      <c r="A708" t="s">
        <v>1926</v>
      </c>
      <c r="B708" t="s">
        <v>1927</v>
      </c>
      <c r="C708" s="37" t="s">
        <v>473</v>
      </c>
      <c r="D708" s="37" t="s">
        <v>15</v>
      </c>
      <c r="E708" s="37" t="s">
        <v>16</v>
      </c>
      <c r="F708" s="38">
        <v>46205</v>
      </c>
      <c r="G708" s="17" t="s">
        <v>1872</v>
      </c>
      <c r="H708" s="54">
        <v>4.25</v>
      </c>
      <c r="L708" s="37" t="s">
        <v>17</v>
      </c>
    </row>
    <row r="709" spans="1:12">
      <c r="A709" t="s">
        <v>1928</v>
      </c>
      <c r="B709" t="s">
        <v>1929</v>
      </c>
      <c r="C709" s="37" t="s">
        <v>473</v>
      </c>
      <c r="D709" s="37" t="s">
        <v>15</v>
      </c>
      <c r="E709" s="37" t="s">
        <v>16</v>
      </c>
      <c r="F709" s="38">
        <v>46205</v>
      </c>
      <c r="G709" s="17" t="s">
        <v>1872</v>
      </c>
      <c r="H709" s="54">
        <v>7.12</v>
      </c>
      <c r="L709" s="37" t="s">
        <v>17</v>
      </c>
    </row>
    <row r="710" spans="1:12">
      <c r="A710" t="s">
        <v>1930</v>
      </c>
      <c r="B710" t="s">
        <v>1931</v>
      </c>
      <c r="C710" s="37" t="s">
        <v>473</v>
      </c>
      <c r="D710" s="37" t="s">
        <v>15</v>
      </c>
      <c r="E710" s="37" t="s">
        <v>16</v>
      </c>
      <c r="F710" s="38">
        <v>46205</v>
      </c>
      <c r="G710" s="17" t="s">
        <v>1872</v>
      </c>
      <c r="H710" s="54">
        <v>7.1</v>
      </c>
      <c r="L710" s="37" t="s">
        <v>17</v>
      </c>
    </row>
    <row r="711" spans="1:12">
      <c r="A711" t="s">
        <v>1932</v>
      </c>
      <c r="B711" t="s">
        <v>1933</v>
      </c>
      <c r="C711" s="37" t="s">
        <v>473</v>
      </c>
      <c r="D711" s="37" t="s">
        <v>15</v>
      </c>
      <c r="E711" s="37" t="s">
        <v>16</v>
      </c>
      <c r="F711" s="38">
        <v>46205</v>
      </c>
      <c r="G711" s="17" t="s">
        <v>1872</v>
      </c>
      <c r="H711" s="54">
        <v>9.98</v>
      </c>
      <c r="L711" s="37" t="s">
        <v>17</v>
      </c>
    </row>
    <row r="712" spans="1:12">
      <c r="A712" t="s">
        <v>1934</v>
      </c>
      <c r="B712" t="s">
        <v>1935</v>
      </c>
      <c r="C712" s="37" t="s">
        <v>473</v>
      </c>
      <c r="D712" s="37" t="s">
        <v>15</v>
      </c>
      <c r="E712" s="37" t="s">
        <v>16</v>
      </c>
      <c r="F712" s="38">
        <v>46205</v>
      </c>
      <c r="G712" s="17" t="s">
        <v>1936</v>
      </c>
      <c r="H712" s="54">
        <v>4.2699999999999996</v>
      </c>
      <c r="L712" s="37" t="s">
        <v>17</v>
      </c>
    </row>
    <row r="713" spans="1:12">
      <c r="A713" t="s">
        <v>1937</v>
      </c>
      <c r="B713" t="s">
        <v>1938</v>
      </c>
      <c r="C713" s="37" t="s">
        <v>473</v>
      </c>
      <c r="D713" s="37" t="s">
        <v>15</v>
      </c>
      <c r="E713" s="37" t="s">
        <v>16</v>
      </c>
      <c r="F713" s="38">
        <v>46205</v>
      </c>
      <c r="G713" s="17" t="s">
        <v>1872</v>
      </c>
      <c r="H713" s="54">
        <v>17.09</v>
      </c>
      <c r="L713" s="37" t="s">
        <v>17</v>
      </c>
    </row>
    <row r="714" spans="1:12">
      <c r="A714" t="s">
        <v>1939</v>
      </c>
      <c r="B714" t="s">
        <v>1940</v>
      </c>
      <c r="C714" s="37" t="s">
        <v>473</v>
      </c>
      <c r="D714" s="37" t="s">
        <v>15</v>
      </c>
      <c r="E714" s="37" t="s">
        <v>16</v>
      </c>
      <c r="F714" s="38">
        <v>46205</v>
      </c>
      <c r="G714" s="17" t="s">
        <v>1872</v>
      </c>
      <c r="H714" s="54">
        <v>14.96</v>
      </c>
      <c r="L714" s="37" t="s">
        <v>17</v>
      </c>
    </row>
    <row r="715" spans="1:12">
      <c r="A715" t="s">
        <v>1941</v>
      </c>
      <c r="B715" t="s">
        <v>1942</v>
      </c>
      <c r="C715" s="37" t="s">
        <v>473</v>
      </c>
      <c r="D715" s="37" t="s">
        <v>15</v>
      </c>
      <c r="E715" s="37" t="s">
        <v>16</v>
      </c>
      <c r="F715" s="38">
        <v>46205</v>
      </c>
      <c r="G715" s="17" t="s">
        <v>1872</v>
      </c>
      <c r="H715" s="54">
        <v>34.229999999999997</v>
      </c>
      <c r="L715" s="37" t="s">
        <v>17</v>
      </c>
    </row>
    <row r="716" spans="1:12">
      <c r="A716" t="s">
        <v>1943</v>
      </c>
      <c r="B716" t="s">
        <v>1944</v>
      </c>
      <c r="C716" s="37" t="s">
        <v>473</v>
      </c>
      <c r="D716" s="37" t="s">
        <v>15</v>
      </c>
      <c r="E716" s="37" t="s">
        <v>16</v>
      </c>
      <c r="F716" s="38">
        <v>46205</v>
      </c>
      <c r="G716" s="17" t="s">
        <v>1872</v>
      </c>
      <c r="H716" s="54">
        <v>10.45</v>
      </c>
      <c r="L716" s="37" t="s">
        <v>17</v>
      </c>
    </row>
    <row r="717" spans="1:12">
      <c r="A717" t="s">
        <v>1945</v>
      </c>
      <c r="B717" t="s">
        <v>1946</v>
      </c>
      <c r="C717" s="37" t="s">
        <v>473</v>
      </c>
      <c r="D717" s="37" t="s">
        <v>15</v>
      </c>
      <c r="E717" s="37" t="s">
        <v>16</v>
      </c>
      <c r="F717" s="38">
        <v>46205</v>
      </c>
      <c r="G717" s="17" t="s">
        <v>1872</v>
      </c>
      <c r="H717" s="54">
        <v>38.49</v>
      </c>
      <c r="L717" s="37" t="s">
        <v>17</v>
      </c>
    </row>
    <row r="718" spans="1:12">
      <c r="A718" t="s">
        <v>1947</v>
      </c>
      <c r="B718" t="s">
        <v>1948</v>
      </c>
      <c r="C718" s="37" t="s">
        <v>473</v>
      </c>
      <c r="D718" s="37" t="s">
        <v>15</v>
      </c>
      <c r="E718" s="37" t="s">
        <v>16</v>
      </c>
      <c r="F718" s="38">
        <v>46205</v>
      </c>
      <c r="G718" s="17" t="s">
        <v>1872</v>
      </c>
      <c r="H718" s="54">
        <v>21.08</v>
      </c>
      <c r="L718" s="37" t="s">
        <v>17</v>
      </c>
    </row>
    <row r="719" spans="1:12">
      <c r="A719" t="s">
        <v>1949</v>
      </c>
      <c r="B719" t="s">
        <v>1950</v>
      </c>
      <c r="C719" s="37" t="s">
        <v>473</v>
      </c>
      <c r="D719" s="37" t="s">
        <v>15</v>
      </c>
      <c r="E719" s="37" t="s">
        <v>16</v>
      </c>
      <c r="F719" s="38">
        <v>46205</v>
      </c>
      <c r="G719" s="17" t="s">
        <v>1936</v>
      </c>
      <c r="H719" s="54">
        <v>8.77</v>
      </c>
      <c r="L719" s="37" t="s">
        <v>17</v>
      </c>
    </row>
    <row r="720" spans="1:12">
      <c r="A720" t="s">
        <v>1951</v>
      </c>
      <c r="B720" t="s">
        <v>1952</v>
      </c>
      <c r="C720" s="37" t="s">
        <v>473</v>
      </c>
      <c r="D720" s="37" t="s">
        <v>15</v>
      </c>
      <c r="E720" s="37" t="s">
        <v>16</v>
      </c>
      <c r="F720" s="38">
        <v>46205</v>
      </c>
      <c r="G720" s="17" t="s">
        <v>1872</v>
      </c>
      <c r="H720" s="54">
        <v>11.25</v>
      </c>
      <c r="L720" s="37" t="s">
        <v>17</v>
      </c>
    </row>
    <row r="721" spans="1:13">
      <c r="A721" t="s">
        <v>1953</v>
      </c>
      <c r="B721" t="s">
        <v>1954</v>
      </c>
      <c r="C721" s="37" t="s">
        <v>473</v>
      </c>
      <c r="D721" s="37" t="s">
        <v>15</v>
      </c>
      <c r="E721" s="37" t="s">
        <v>16</v>
      </c>
      <c r="F721" s="38">
        <v>46205</v>
      </c>
      <c r="G721" s="17" t="s">
        <v>1872</v>
      </c>
      <c r="H721" s="54">
        <v>30.43</v>
      </c>
      <c r="L721" s="37" t="s">
        <v>17</v>
      </c>
    </row>
    <row r="722" spans="1:13">
      <c r="A722" t="s">
        <v>1955</v>
      </c>
      <c r="B722" t="s">
        <v>1956</v>
      </c>
      <c r="C722" s="37" t="s">
        <v>473</v>
      </c>
      <c r="D722" s="37" t="s">
        <v>15</v>
      </c>
      <c r="E722" s="37" t="s">
        <v>16</v>
      </c>
      <c r="F722" s="38">
        <v>46205</v>
      </c>
      <c r="G722" s="17" t="s">
        <v>1936</v>
      </c>
      <c r="H722" s="54">
        <v>6.38</v>
      </c>
      <c r="K722" s="38"/>
      <c r="L722" s="37" t="s">
        <v>17</v>
      </c>
      <c r="M722" s="36" t="s">
        <v>1957</v>
      </c>
    </row>
    <row r="723" spans="1:13">
      <c r="A723" t="s">
        <v>1958</v>
      </c>
      <c r="B723" t="s">
        <v>1959</v>
      </c>
      <c r="C723" s="37" t="s">
        <v>473</v>
      </c>
      <c r="D723" s="37" t="s">
        <v>15</v>
      </c>
      <c r="E723" s="37" t="s">
        <v>16</v>
      </c>
      <c r="F723" s="38">
        <v>46205</v>
      </c>
      <c r="G723" s="17" t="s">
        <v>1872</v>
      </c>
      <c r="H723" s="54">
        <v>29.45</v>
      </c>
      <c r="L723" s="37" t="s">
        <v>17</v>
      </c>
    </row>
    <row r="724" spans="1:13">
      <c r="A724" t="s">
        <v>1960</v>
      </c>
      <c r="B724" t="s">
        <v>1961</v>
      </c>
      <c r="C724" s="37" t="s">
        <v>473</v>
      </c>
      <c r="D724" s="37" t="s">
        <v>15</v>
      </c>
      <c r="E724" s="37" t="s">
        <v>16</v>
      </c>
      <c r="F724" s="38">
        <v>46205</v>
      </c>
      <c r="G724" s="17" t="s">
        <v>1936</v>
      </c>
      <c r="H724" s="54">
        <v>11.89</v>
      </c>
      <c r="L724" s="37" t="s">
        <v>17</v>
      </c>
    </row>
    <row r="725" spans="1:13">
      <c r="A725" t="s">
        <v>1962</v>
      </c>
      <c r="B725" t="s">
        <v>1963</v>
      </c>
      <c r="C725" s="37" t="s">
        <v>473</v>
      </c>
      <c r="D725" s="37" t="s">
        <v>15</v>
      </c>
      <c r="E725" s="37" t="s">
        <v>16</v>
      </c>
      <c r="F725" s="38">
        <v>46205</v>
      </c>
      <c r="G725" s="17" t="s">
        <v>1872</v>
      </c>
      <c r="H725" s="54">
        <v>37.090000000000003</v>
      </c>
      <c r="L725" s="37" t="s">
        <v>17</v>
      </c>
    </row>
    <row r="726" spans="1:13">
      <c r="A726" t="s">
        <v>1964</v>
      </c>
      <c r="B726" t="s">
        <v>1965</v>
      </c>
      <c r="C726" s="37" t="s">
        <v>473</v>
      </c>
      <c r="D726" s="37" t="s">
        <v>15</v>
      </c>
      <c r="E726" s="37" t="s">
        <v>16</v>
      </c>
      <c r="F726" s="38">
        <v>46205</v>
      </c>
      <c r="G726" s="17" t="s">
        <v>1872</v>
      </c>
      <c r="H726" s="54">
        <v>17.510000000000002</v>
      </c>
      <c r="L726" s="37" t="s">
        <v>17</v>
      </c>
    </row>
    <row r="727" spans="1:13">
      <c r="A727" t="s">
        <v>1966</v>
      </c>
      <c r="B727" t="s">
        <v>1967</v>
      </c>
      <c r="C727" s="37" t="s">
        <v>473</v>
      </c>
      <c r="D727" s="37" t="s">
        <v>15</v>
      </c>
      <c r="E727" s="37" t="s">
        <v>16</v>
      </c>
      <c r="F727" s="38">
        <v>46205</v>
      </c>
      <c r="G727" s="17" t="s">
        <v>1894</v>
      </c>
      <c r="H727" s="54">
        <v>5.68</v>
      </c>
      <c r="L727" s="37" t="s">
        <v>17</v>
      </c>
    </row>
    <row r="728" spans="1:13">
      <c r="A728" t="s">
        <v>1968</v>
      </c>
      <c r="B728" t="s">
        <v>1969</v>
      </c>
      <c r="C728" s="37" t="s">
        <v>473</v>
      </c>
      <c r="D728" s="37" t="s">
        <v>15</v>
      </c>
      <c r="E728" s="37" t="s">
        <v>16</v>
      </c>
      <c r="F728" s="38">
        <v>46205</v>
      </c>
      <c r="G728" s="17" t="s">
        <v>1936</v>
      </c>
      <c r="H728" s="54">
        <v>8.5500000000000007</v>
      </c>
      <c r="L728" s="37" t="s">
        <v>17</v>
      </c>
    </row>
    <row r="729" spans="1:13">
      <c r="A729" t="s">
        <v>1970</v>
      </c>
      <c r="B729" t="s">
        <v>1971</v>
      </c>
      <c r="C729" s="37" t="s">
        <v>473</v>
      </c>
      <c r="D729" s="37" t="s">
        <v>15</v>
      </c>
      <c r="E729" s="37" t="s">
        <v>16</v>
      </c>
      <c r="F729" s="38">
        <v>46205</v>
      </c>
      <c r="G729" s="17" t="s">
        <v>1872</v>
      </c>
      <c r="H729" s="54">
        <v>14.24</v>
      </c>
      <c r="L729" s="37" t="s">
        <v>17</v>
      </c>
    </row>
    <row r="730" spans="1:13">
      <c r="A730" t="s">
        <v>1972</v>
      </c>
      <c r="B730" t="s">
        <v>1973</v>
      </c>
      <c r="C730" s="37" t="s">
        <v>473</v>
      </c>
      <c r="D730" s="37" t="s">
        <v>15</v>
      </c>
      <c r="E730" s="37" t="s">
        <v>16</v>
      </c>
      <c r="F730" s="38">
        <v>46205</v>
      </c>
      <c r="G730" s="17" t="s">
        <v>1894</v>
      </c>
      <c r="H730" s="54">
        <v>17.510000000000002</v>
      </c>
      <c r="L730" s="37" t="s">
        <v>17</v>
      </c>
    </row>
    <row r="731" spans="1:13">
      <c r="A731" t="s">
        <v>1974</v>
      </c>
      <c r="B731" t="s">
        <v>1975</v>
      </c>
      <c r="C731" s="37" t="s">
        <v>473</v>
      </c>
      <c r="D731" s="37" t="s">
        <v>15</v>
      </c>
      <c r="E731" s="37" t="s">
        <v>16</v>
      </c>
      <c r="F731" s="38">
        <v>46205</v>
      </c>
      <c r="G731" s="17" t="s">
        <v>1872</v>
      </c>
      <c r="H731" s="54">
        <v>4.25</v>
      </c>
      <c r="L731" s="37" t="s">
        <v>17</v>
      </c>
    </row>
    <row r="732" spans="1:13">
      <c r="A732" t="s">
        <v>1976</v>
      </c>
      <c r="B732" t="s">
        <v>1977</v>
      </c>
      <c r="C732" s="37" t="s">
        <v>473</v>
      </c>
      <c r="D732" s="37" t="s">
        <v>15</v>
      </c>
      <c r="E732" s="37" t="s">
        <v>16</v>
      </c>
      <c r="F732" s="38">
        <v>46205</v>
      </c>
      <c r="G732" s="17" t="s">
        <v>1936</v>
      </c>
      <c r="H732" s="54">
        <v>39.090000000000003</v>
      </c>
      <c r="L732" s="37" t="s">
        <v>17</v>
      </c>
    </row>
    <row r="733" spans="1:13">
      <c r="A733" t="s">
        <v>1978</v>
      </c>
      <c r="B733" t="s">
        <v>1979</v>
      </c>
      <c r="C733" s="37" t="s">
        <v>473</v>
      </c>
      <c r="D733" s="37" t="s">
        <v>15</v>
      </c>
      <c r="E733" s="37" t="s">
        <v>16</v>
      </c>
      <c r="F733" s="38">
        <v>46205</v>
      </c>
      <c r="G733" s="17" t="s">
        <v>1872</v>
      </c>
      <c r="H733" s="54">
        <v>39.659999999999997</v>
      </c>
      <c r="L733" s="37" t="s">
        <v>17</v>
      </c>
    </row>
    <row r="734" spans="1:13">
      <c r="A734" t="s">
        <v>1980</v>
      </c>
      <c r="B734" t="s">
        <v>1981</v>
      </c>
      <c r="C734" s="37" t="s">
        <v>473</v>
      </c>
      <c r="D734" s="37" t="s">
        <v>15</v>
      </c>
      <c r="E734" s="37" t="s">
        <v>16</v>
      </c>
      <c r="F734" s="38">
        <v>46205</v>
      </c>
      <c r="G734" s="17" t="s">
        <v>1936</v>
      </c>
      <c r="H734" s="54">
        <v>11.87</v>
      </c>
      <c r="L734" s="37" t="s">
        <v>17</v>
      </c>
    </row>
    <row r="735" spans="1:13">
      <c r="A735" t="s">
        <v>1982</v>
      </c>
      <c r="B735" t="s">
        <v>1983</v>
      </c>
      <c r="C735" s="37" t="s">
        <v>473</v>
      </c>
      <c r="D735" s="37" t="s">
        <v>15</v>
      </c>
      <c r="E735" s="37" t="s">
        <v>16</v>
      </c>
      <c r="F735" s="38">
        <v>46205</v>
      </c>
      <c r="G735" s="17" t="s">
        <v>1894</v>
      </c>
      <c r="H735" s="54">
        <v>14.1</v>
      </c>
      <c r="L735" s="37" t="s">
        <v>17</v>
      </c>
    </row>
    <row r="736" spans="1:13">
      <c r="A736" t="s">
        <v>1984</v>
      </c>
      <c r="B736" t="s">
        <v>1985</v>
      </c>
      <c r="C736" s="37" t="s">
        <v>473</v>
      </c>
      <c r="D736" s="37" t="s">
        <v>15</v>
      </c>
      <c r="E736" s="37" t="s">
        <v>16</v>
      </c>
      <c r="F736" s="38">
        <v>46205</v>
      </c>
      <c r="G736" s="17" t="s">
        <v>1894</v>
      </c>
      <c r="H736" s="54">
        <v>14.1</v>
      </c>
      <c r="L736" s="37" t="s">
        <v>17</v>
      </c>
    </row>
    <row r="737" spans="1:12">
      <c r="A737" t="s">
        <v>1986</v>
      </c>
      <c r="B737" t="s">
        <v>1987</v>
      </c>
      <c r="C737" s="37" t="s">
        <v>473</v>
      </c>
      <c r="D737" s="37" t="s">
        <v>15</v>
      </c>
      <c r="E737" s="37" t="s">
        <v>16</v>
      </c>
      <c r="F737" s="38">
        <v>46205</v>
      </c>
      <c r="G737" s="17" t="s">
        <v>1894</v>
      </c>
      <c r="H737" s="54">
        <v>23.35</v>
      </c>
      <c r="L737" s="37" t="s">
        <v>17</v>
      </c>
    </row>
    <row r="738" spans="1:12">
      <c r="A738" t="s">
        <v>1988</v>
      </c>
      <c r="B738" t="s">
        <v>1989</v>
      </c>
      <c r="C738" s="37" t="s">
        <v>473</v>
      </c>
      <c r="D738" s="37" t="s">
        <v>15</v>
      </c>
      <c r="E738" s="37" t="s">
        <v>16</v>
      </c>
      <c r="F738" s="38">
        <v>46205</v>
      </c>
      <c r="G738" s="17" t="s">
        <v>1936</v>
      </c>
      <c r="H738" s="54">
        <v>7.46</v>
      </c>
      <c r="L738" s="37" t="s">
        <v>17</v>
      </c>
    </row>
    <row r="739" spans="1:12">
      <c r="A739" t="s">
        <v>1990</v>
      </c>
      <c r="B739" t="s">
        <v>1991</v>
      </c>
      <c r="C739" s="37" t="s">
        <v>473</v>
      </c>
      <c r="D739" s="37" t="s">
        <v>15</v>
      </c>
      <c r="E739" s="37" t="s">
        <v>16</v>
      </c>
      <c r="F739" s="38">
        <v>46205</v>
      </c>
      <c r="G739" s="17" t="s">
        <v>1936</v>
      </c>
      <c r="H739" s="54">
        <v>39.99</v>
      </c>
      <c r="L739" s="37" t="s">
        <v>17</v>
      </c>
    </row>
    <row r="740" spans="1:12">
      <c r="A740" t="s">
        <v>1992</v>
      </c>
      <c r="B740" t="s">
        <v>1993</v>
      </c>
      <c r="C740" s="37" t="s">
        <v>473</v>
      </c>
      <c r="D740" s="37" t="s">
        <v>15</v>
      </c>
      <c r="E740" s="37" t="s">
        <v>16</v>
      </c>
      <c r="F740" s="38">
        <v>46205</v>
      </c>
      <c r="G740" s="17" t="s">
        <v>1936</v>
      </c>
      <c r="H740" s="54">
        <v>0.42</v>
      </c>
      <c r="L740" s="37" t="s">
        <v>17</v>
      </c>
    </row>
    <row r="741" spans="1:12">
      <c r="A741" t="s">
        <v>1994</v>
      </c>
      <c r="B741" t="s">
        <v>1995</v>
      </c>
      <c r="C741" s="37" t="s">
        <v>473</v>
      </c>
      <c r="D741" s="37" t="s">
        <v>15</v>
      </c>
      <c r="E741" s="37" t="s">
        <v>16</v>
      </c>
      <c r="F741" s="38">
        <v>46205</v>
      </c>
      <c r="G741" s="17" t="s">
        <v>1936</v>
      </c>
      <c r="H741" s="54">
        <v>2.96</v>
      </c>
      <c r="L741" s="37" t="s">
        <v>17</v>
      </c>
    </row>
    <row r="742" spans="1:12">
      <c r="A742" t="s">
        <v>1996</v>
      </c>
      <c r="B742" t="s">
        <v>1997</v>
      </c>
      <c r="C742" s="37" t="s">
        <v>473</v>
      </c>
      <c r="D742" s="37" t="s">
        <v>15</v>
      </c>
      <c r="E742" s="37" t="s">
        <v>16</v>
      </c>
      <c r="F742" s="38">
        <v>46205</v>
      </c>
      <c r="G742" s="17" t="s">
        <v>1872</v>
      </c>
      <c r="H742" s="54">
        <v>0.59</v>
      </c>
      <c r="L742" s="37" t="s">
        <v>17</v>
      </c>
    </row>
    <row r="743" spans="1:12">
      <c r="A743" t="s">
        <v>1998</v>
      </c>
      <c r="B743" t="s">
        <v>1999</v>
      </c>
      <c r="C743" s="37" t="s">
        <v>473</v>
      </c>
      <c r="D743" s="37" t="s">
        <v>15</v>
      </c>
      <c r="E743" s="37" t="s">
        <v>16</v>
      </c>
      <c r="F743" s="38">
        <v>46205</v>
      </c>
      <c r="G743" s="17" t="s">
        <v>1894</v>
      </c>
      <c r="H743" s="54">
        <v>0.25</v>
      </c>
      <c r="L743" s="37" t="s">
        <v>17</v>
      </c>
    </row>
    <row r="744" spans="1:12">
      <c r="A744" t="s">
        <v>2000</v>
      </c>
      <c r="B744" t="s">
        <v>2001</v>
      </c>
      <c r="C744" s="37" t="s">
        <v>473</v>
      </c>
      <c r="D744" s="37" t="s">
        <v>15</v>
      </c>
      <c r="E744" s="37" t="s">
        <v>16</v>
      </c>
      <c r="F744" s="38">
        <v>46205</v>
      </c>
      <c r="G744" s="17" t="s">
        <v>1894</v>
      </c>
      <c r="H744" s="54">
        <v>0.34</v>
      </c>
      <c r="L744" s="37" t="s">
        <v>17</v>
      </c>
    </row>
    <row r="745" spans="1:12">
      <c r="A745" t="s">
        <v>2002</v>
      </c>
      <c r="B745" t="s">
        <v>2003</v>
      </c>
      <c r="C745" s="37" t="s">
        <v>473</v>
      </c>
      <c r="D745" s="37" t="s">
        <v>15</v>
      </c>
      <c r="E745" s="37" t="s">
        <v>16</v>
      </c>
      <c r="F745" s="38">
        <v>46205</v>
      </c>
      <c r="G745" s="17" t="s">
        <v>1872</v>
      </c>
      <c r="H745" s="54">
        <v>0.92</v>
      </c>
      <c r="L745" s="37" t="s">
        <v>17</v>
      </c>
    </row>
    <row r="746" spans="1:12">
      <c r="A746" t="s">
        <v>2004</v>
      </c>
      <c r="B746" t="s">
        <v>2005</v>
      </c>
      <c r="C746" s="37" t="s">
        <v>473</v>
      </c>
      <c r="D746" s="37" t="s">
        <v>15</v>
      </c>
      <c r="E746" s="37" t="s">
        <v>16</v>
      </c>
      <c r="F746" s="38">
        <v>46205</v>
      </c>
      <c r="G746" s="17" t="s">
        <v>1872</v>
      </c>
      <c r="H746" s="54">
        <v>2.4500000000000002</v>
      </c>
      <c r="L746" s="37" t="s">
        <v>17</v>
      </c>
    </row>
    <row r="747" spans="1:12">
      <c r="A747" t="s">
        <v>2006</v>
      </c>
      <c r="B747" t="s">
        <v>2007</v>
      </c>
      <c r="C747" s="37" t="s">
        <v>473</v>
      </c>
      <c r="D747" s="37" t="s">
        <v>15</v>
      </c>
      <c r="E747" s="37" t="s">
        <v>16</v>
      </c>
      <c r="F747" s="38">
        <v>46205</v>
      </c>
      <c r="G747" s="17" t="s">
        <v>1872</v>
      </c>
      <c r="H747" s="54">
        <v>1.64</v>
      </c>
      <c r="L747" s="37" t="s">
        <v>17</v>
      </c>
    </row>
    <row r="748" spans="1:12">
      <c r="A748" t="s">
        <v>2008</v>
      </c>
      <c r="B748" t="s">
        <v>2009</v>
      </c>
      <c r="C748" s="37" t="s">
        <v>473</v>
      </c>
      <c r="D748" s="37" t="s">
        <v>15</v>
      </c>
      <c r="E748" s="37" t="s">
        <v>16</v>
      </c>
      <c r="F748" s="38">
        <v>46205</v>
      </c>
      <c r="G748" s="17" t="s">
        <v>1936</v>
      </c>
      <c r="H748" s="54">
        <v>0.12</v>
      </c>
      <c r="L748" s="37" t="s">
        <v>17</v>
      </c>
    </row>
    <row r="749" spans="1:12">
      <c r="A749" t="s">
        <v>2010</v>
      </c>
      <c r="B749" t="s">
        <v>2011</v>
      </c>
      <c r="C749" s="37" t="s">
        <v>473</v>
      </c>
      <c r="D749" s="37" t="s">
        <v>15</v>
      </c>
      <c r="E749" s="37" t="s">
        <v>16</v>
      </c>
      <c r="F749" s="38">
        <v>46205</v>
      </c>
      <c r="G749" s="17" t="s">
        <v>1872</v>
      </c>
      <c r="H749" s="54">
        <v>2.72</v>
      </c>
      <c r="L749" s="37" t="s">
        <v>17</v>
      </c>
    </row>
    <row r="750" spans="1:12">
      <c r="A750" t="s">
        <v>2012</v>
      </c>
      <c r="B750" t="s">
        <v>2013</v>
      </c>
      <c r="C750" s="37" t="s">
        <v>473</v>
      </c>
      <c r="D750" s="37" t="s">
        <v>15</v>
      </c>
      <c r="E750" s="37" t="s">
        <v>16</v>
      </c>
      <c r="F750" s="38">
        <v>46205</v>
      </c>
      <c r="G750" s="17" t="s">
        <v>1936</v>
      </c>
      <c r="H750" s="54">
        <v>0.39</v>
      </c>
      <c r="L750" s="37" t="s">
        <v>17</v>
      </c>
    </row>
    <row r="751" spans="1:12">
      <c r="A751" t="s">
        <v>2014</v>
      </c>
      <c r="B751" t="s">
        <v>2015</v>
      </c>
      <c r="C751" s="37" t="s">
        <v>473</v>
      </c>
      <c r="D751" s="37" t="s">
        <v>15</v>
      </c>
      <c r="E751" s="37" t="s">
        <v>16</v>
      </c>
      <c r="F751" s="38">
        <v>46205</v>
      </c>
      <c r="G751" s="17" t="s">
        <v>1872</v>
      </c>
      <c r="H751" s="54">
        <v>2.16</v>
      </c>
      <c r="L751" s="37" t="s">
        <v>17</v>
      </c>
    </row>
    <row r="752" spans="1:12">
      <c r="A752" t="s">
        <v>2016</v>
      </c>
      <c r="B752" t="s">
        <v>2017</v>
      </c>
      <c r="C752" s="37" t="s">
        <v>473</v>
      </c>
      <c r="D752" s="37" t="s">
        <v>15</v>
      </c>
      <c r="E752" s="37" t="s">
        <v>16</v>
      </c>
      <c r="F752" s="38">
        <v>46205</v>
      </c>
      <c r="G752" s="17" t="s">
        <v>1936</v>
      </c>
      <c r="H752" s="54">
        <v>1.59</v>
      </c>
      <c r="L752" s="37" t="s">
        <v>17</v>
      </c>
    </row>
    <row r="753" spans="1:12">
      <c r="A753" t="s">
        <v>2018</v>
      </c>
      <c r="B753" t="s">
        <v>2019</v>
      </c>
      <c r="C753" s="37" t="s">
        <v>473</v>
      </c>
      <c r="D753" s="37" t="s">
        <v>15</v>
      </c>
      <c r="E753" s="37" t="s">
        <v>16</v>
      </c>
      <c r="F753" s="38">
        <v>46205</v>
      </c>
      <c r="G753" s="17" t="s">
        <v>1872</v>
      </c>
      <c r="H753" s="54">
        <v>1.32</v>
      </c>
      <c r="L753" s="37" t="s">
        <v>17</v>
      </c>
    </row>
    <row r="754" spans="1:12">
      <c r="A754" t="s">
        <v>2020</v>
      </c>
      <c r="B754" t="s">
        <v>2021</v>
      </c>
      <c r="C754" s="37" t="s">
        <v>473</v>
      </c>
      <c r="D754" s="37" t="s">
        <v>15</v>
      </c>
      <c r="E754" s="37" t="s">
        <v>16</v>
      </c>
      <c r="F754" s="38">
        <v>46205</v>
      </c>
      <c r="G754" s="17" t="s">
        <v>1936</v>
      </c>
      <c r="H754" s="54">
        <v>0.94</v>
      </c>
      <c r="L754" s="37" t="s">
        <v>17</v>
      </c>
    </row>
    <row r="755" spans="1:12">
      <c r="A755" t="s">
        <v>2022</v>
      </c>
      <c r="B755" t="s">
        <v>2023</v>
      </c>
      <c r="C755" s="37" t="s">
        <v>473</v>
      </c>
      <c r="D755" s="37" t="s">
        <v>15</v>
      </c>
      <c r="E755" s="37" t="s">
        <v>16</v>
      </c>
      <c r="F755" s="38">
        <v>46205</v>
      </c>
      <c r="G755" s="17" t="s">
        <v>1872</v>
      </c>
      <c r="H755" s="54">
        <v>4.22</v>
      </c>
      <c r="L755" s="37" t="s">
        <v>17</v>
      </c>
    </row>
    <row r="756" spans="1:12">
      <c r="A756" t="s">
        <v>2024</v>
      </c>
      <c r="B756" t="s">
        <v>2025</v>
      </c>
      <c r="C756" s="37" t="s">
        <v>473</v>
      </c>
      <c r="D756" s="37" t="s">
        <v>15</v>
      </c>
      <c r="E756" s="37" t="s">
        <v>16</v>
      </c>
      <c r="F756" s="38">
        <v>46205</v>
      </c>
      <c r="G756" s="17" t="s">
        <v>1872</v>
      </c>
      <c r="H756" s="54">
        <v>1.1399999999999999</v>
      </c>
      <c r="L756" s="37" t="s">
        <v>17</v>
      </c>
    </row>
    <row r="757" spans="1:12">
      <c r="A757" t="s">
        <v>2026</v>
      </c>
      <c r="B757" t="s">
        <v>2027</v>
      </c>
      <c r="C757" s="37" t="s">
        <v>473</v>
      </c>
      <c r="D757" s="37" t="s">
        <v>15</v>
      </c>
      <c r="E757" s="37" t="s">
        <v>16</v>
      </c>
      <c r="F757" s="38">
        <v>46205</v>
      </c>
      <c r="G757" s="17" t="s">
        <v>1872</v>
      </c>
      <c r="H757" s="54">
        <v>2.6</v>
      </c>
      <c r="L757" s="37" t="s">
        <v>17</v>
      </c>
    </row>
    <row r="758" spans="1:12">
      <c r="A758" t="s">
        <v>2028</v>
      </c>
      <c r="B758" t="s">
        <v>2029</v>
      </c>
      <c r="C758" s="37" t="s">
        <v>473</v>
      </c>
      <c r="D758" s="37" t="s">
        <v>15</v>
      </c>
      <c r="E758" s="37" t="s">
        <v>16</v>
      </c>
      <c r="F758" s="38">
        <v>46205</v>
      </c>
      <c r="G758" s="17" t="s">
        <v>1872</v>
      </c>
      <c r="H758" s="54">
        <v>2.5099999999999998</v>
      </c>
      <c r="L758" s="37" t="s">
        <v>17</v>
      </c>
    </row>
    <row r="759" spans="1:12">
      <c r="A759" t="s">
        <v>2030</v>
      </c>
      <c r="B759" t="s">
        <v>2031</v>
      </c>
      <c r="C759" s="37" t="s">
        <v>473</v>
      </c>
      <c r="D759" s="37" t="s">
        <v>15</v>
      </c>
      <c r="E759" s="37" t="s">
        <v>16</v>
      </c>
      <c r="F759" s="38">
        <v>46205</v>
      </c>
      <c r="G759" s="17" t="s">
        <v>1872</v>
      </c>
      <c r="H759" s="54">
        <v>0.72</v>
      </c>
      <c r="L759" s="37" t="s">
        <v>17</v>
      </c>
    </row>
    <row r="760" spans="1:12">
      <c r="A760" t="s">
        <v>2032</v>
      </c>
      <c r="B760" t="s">
        <v>2033</v>
      </c>
      <c r="C760" s="37" t="s">
        <v>473</v>
      </c>
      <c r="D760" s="37" t="s">
        <v>15</v>
      </c>
      <c r="E760" s="37" t="s">
        <v>16</v>
      </c>
      <c r="F760" s="38">
        <v>46205</v>
      </c>
      <c r="G760" s="17" t="s">
        <v>1872</v>
      </c>
      <c r="H760" s="54">
        <v>0.99</v>
      </c>
      <c r="L760" s="37" t="s">
        <v>17</v>
      </c>
    </row>
    <row r="761" spans="1:12">
      <c r="A761" t="s">
        <v>2034</v>
      </c>
      <c r="B761" t="s">
        <v>2035</v>
      </c>
      <c r="C761" s="37" t="s">
        <v>473</v>
      </c>
      <c r="D761" s="37" t="s">
        <v>15</v>
      </c>
      <c r="E761" s="37" t="s">
        <v>16</v>
      </c>
      <c r="F761" s="38">
        <v>46205</v>
      </c>
      <c r="G761" s="17" t="s">
        <v>1872</v>
      </c>
      <c r="H761" s="54">
        <v>6.49</v>
      </c>
      <c r="L761" s="37" t="s">
        <v>17</v>
      </c>
    </row>
    <row r="762" spans="1:12">
      <c r="A762" t="s">
        <v>2036</v>
      </c>
      <c r="B762" t="s">
        <v>2037</v>
      </c>
      <c r="C762" s="37" t="s">
        <v>473</v>
      </c>
      <c r="D762" s="37" t="s">
        <v>15</v>
      </c>
      <c r="E762" s="37" t="s">
        <v>16</v>
      </c>
      <c r="F762" s="38">
        <v>46205</v>
      </c>
      <c r="G762" s="17" t="s">
        <v>1872</v>
      </c>
      <c r="H762" s="54">
        <v>2.68</v>
      </c>
      <c r="L762" s="37" t="s">
        <v>17</v>
      </c>
    </row>
    <row r="763" spans="1:12">
      <c r="A763" t="s">
        <v>2038</v>
      </c>
      <c r="B763" t="s">
        <v>2039</v>
      </c>
      <c r="C763" s="37" t="s">
        <v>473</v>
      </c>
      <c r="D763" s="37" t="s">
        <v>15</v>
      </c>
      <c r="E763" s="37" t="s">
        <v>16</v>
      </c>
      <c r="F763" s="38">
        <v>46205</v>
      </c>
      <c r="G763" s="17" t="s">
        <v>1872</v>
      </c>
      <c r="H763" s="54">
        <v>1.66</v>
      </c>
      <c r="L763" s="37" t="s">
        <v>17</v>
      </c>
    </row>
    <row r="764" spans="1:12">
      <c r="A764" t="s">
        <v>2040</v>
      </c>
      <c r="B764" t="s">
        <v>2041</v>
      </c>
      <c r="C764" s="37" t="s">
        <v>473</v>
      </c>
      <c r="D764" s="37" t="s">
        <v>15</v>
      </c>
      <c r="E764" s="37" t="s">
        <v>16</v>
      </c>
      <c r="F764" s="38">
        <v>46205</v>
      </c>
      <c r="G764" s="17" t="s">
        <v>1872</v>
      </c>
      <c r="H764" s="54">
        <v>3.19</v>
      </c>
      <c r="L764" s="37" t="s">
        <v>17</v>
      </c>
    </row>
    <row r="765" spans="1:12">
      <c r="A765" t="s">
        <v>2042</v>
      </c>
      <c r="B765" t="s">
        <v>2043</v>
      </c>
      <c r="C765" s="37" t="s">
        <v>473</v>
      </c>
      <c r="D765" s="37" t="s">
        <v>15</v>
      </c>
      <c r="E765" s="37" t="s">
        <v>16</v>
      </c>
      <c r="F765" s="38">
        <v>46205</v>
      </c>
      <c r="G765" s="17" t="s">
        <v>1872</v>
      </c>
      <c r="H765" s="54">
        <v>2.0299999999999998</v>
      </c>
      <c r="L765" s="37" t="s">
        <v>17</v>
      </c>
    </row>
    <row r="766" spans="1:12">
      <c r="A766" t="s">
        <v>2044</v>
      </c>
      <c r="B766" t="s">
        <v>2045</v>
      </c>
      <c r="C766" s="37" t="s">
        <v>473</v>
      </c>
      <c r="D766" s="37" t="s">
        <v>15</v>
      </c>
      <c r="E766" s="37" t="s">
        <v>16</v>
      </c>
      <c r="F766" s="38">
        <v>46205</v>
      </c>
      <c r="G766" s="17" t="s">
        <v>1872</v>
      </c>
      <c r="H766" s="54">
        <v>1.74</v>
      </c>
      <c r="L766" s="37" t="s">
        <v>17</v>
      </c>
    </row>
    <row r="767" spans="1:12">
      <c r="A767" t="s">
        <v>2046</v>
      </c>
      <c r="B767" t="s">
        <v>2047</v>
      </c>
      <c r="C767" s="37" t="s">
        <v>473</v>
      </c>
      <c r="D767" s="37" t="s">
        <v>15</v>
      </c>
      <c r="E767" s="37" t="s">
        <v>16</v>
      </c>
      <c r="F767" s="38">
        <v>46205</v>
      </c>
      <c r="G767" s="17" t="s">
        <v>1872</v>
      </c>
      <c r="H767" s="54">
        <v>0.91</v>
      </c>
      <c r="L767" s="37" t="s">
        <v>17</v>
      </c>
    </row>
    <row r="768" spans="1:12">
      <c r="A768" t="s">
        <v>2048</v>
      </c>
      <c r="B768" t="s">
        <v>2049</v>
      </c>
      <c r="C768" s="37" t="s">
        <v>473</v>
      </c>
      <c r="D768" s="37" t="s">
        <v>15</v>
      </c>
      <c r="E768" s="37" t="s">
        <v>16</v>
      </c>
      <c r="F768" s="38">
        <v>46205</v>
      </c>
      <c r="G768" s="17" t="s">
        <v>1936</v>
      </c>
      <c r="H768" s="54">
        <v>1.53</v>
      </c>
      <c r="L768" s="37" t="s">
        <v>17</v>
      </c>
    </row>
    <row r="769" spans="1:12">
      <c r="A769" t="s">
        <v>2050</v>
      </c>
      <c r="B769" t="s">
        <v>2051</v>
      </c>
      <c r="C769" s="37" t="s">
        <v>473</v>
      </c>
      <c r="D769" s="37" t="s">
        <v>15</v>
      </c>
      <c r="E769" s="37" t="s">
        <v>16</v>
      </c>
      <c r="F769" s="38">
        <v>46205</v>
      </c>
      <c r="G769" s="17" t="s">
        <v>1872</v>
      </c>
      <c r="H769" s="54">
        <v>3.13</v>
      </c>
      <c r="L769" s="37" t="s">
        <v>17</v>
      </c>
    </row>
    <row r="770" spans="1:12">
      <c r="A770" t="s">
        <v>2052</v>
      </c>
      <c r="B770" t="s">
        <v>2053</v>
      </c>
      <c r="C770" s="37" t="s">
        <v>473</v>
      </c>
      <c r="D770" s="37" t="s">
        <v>15</v>
      </c>
      <c r="E770" s="37" t="s">
        <v>16</v>
      </c>
      <c r="F770" s="38">
        <v>46205</v>
      </c>
      <c r="G770" s="17" t="s">
        <v>1936</v>
      </c>
      <c r="H770" s="54">
        <v>1.4</v>
      </c>
      <c r="L770" s="37" t="s">
        <v>17</v>
      </c>
    </row>
    <row r="771" spans="1:12">
      <c r="A771" t="s">
        <v>2054</v>
      </c>
      <c r="B771" t="s">
        <v>2055</v>
      </c>
      <c r="C771" s="37" t="s">
        <v>473</v>
      </c>
      <c r="D771" s="37" t="s">
        <v>15</v>
      </c>
      <c r="E771" s="37" t="s">
        <v>16</v>
      </c>
      <c r="F771" s="38">
        <v>46205</v>
      </c>
      <c r="G771" s="17" t="s">
        <v>1936</v>
      </c>
      <c r="H771" s="54">
        <v>1.58</v>
      </c>
      <c r="L771" s="37" t="s">
        <v>17</v>
      </c>
    </row>
    <row r="772" spans="1:12">
      <c r="A772" t="s">
        <v>2056</v>
      </c>
      <c r="B772" t="s">
        <v>2057</v>
      </c>
      <c r="C772" s="37" t="s">
        <v>473</v>
      </c>
      <c r="D772" s="37" t="s">
        <v>15</v>
      </c>
      <c r="E772" s="37" t="s">
        <v>16</v>
      </c>
      <c r="F772" s="38">
        <v>46205</v>
      </c>
      <c r="G772" s="17" t="s">
        <v>1936</v>
      </c>
      <c r="H772" s="54">
        <v>2.06</v>
      </c>
      <c r="L772" s="37" t="s">
        <v>17</v>
      </c>
    </row>
    <row r="773" spans="1:12">
      <c r="A773" t="s">
        <v>2058</v>
      </c>
      <c r="B773" t="s">
        <v>2059</v>
      </c>
      <c r="C773" s="37" t="s">
        <v>473</v>
      </c>
      <c r="D773" s="37" t="s">
        <v>15</v>
      </c>
      <c r="E773" s="37" t="s">
        <v>16</v>
      </c>
      <c r="F773" s="38">
        <v>46205</v>
      </c>
      <c r="G773" s="17" t="s">
        <v>1936</v>
      </c>
      <c r="H773" s="54">
        <v>1.3</v>
      </c>
      <c r="L773" s="37" t="s">
        <v>17</v>
      </c>
    </row>
    <row r="774" spans="1:12">
      <c r="A774" t="s">
        <v>2060</v>
      </c>
      <c r="B774" t="s">
        <v>2061</v>
      </c>
      <c r="C774" s="37" t="s">
        <v>473</v>
      </c>
      <c r="D774" s="37" t="s">
        <v>15</v>
      </c>
      <c r="E774" s="37" t="s">
        <v>16</v>
      </c>
      <c r="F774" s="38">
        <v>46205</v>
      </c>
      <c r="G774" s="17" t="s">
        <v>1894</v>
      </c>
      <c r="H774" s="54">
        <v>7.04</v>
      </c>
      <c r="L774" s="37" t="s">
        <v>17</v>
      </c>
    </row>
    <row r="775" spans="1:12">
      <c r="A775" t="s">
        <v>2062</v>
      </c>
      <c r="B775" t="s">
        <v>2063</v>
      </c>
      <c r="C775" s="37" t="s">
        <v>2064</v>
      </c>
      <c r="D775" s="37" t="s">
        <v>15</v>
      </c>
      <c r="E775" s="37" t="s">
        <v>20</v>
      </c>
      <c r="F775" s="38">
        <v>46206</v>
      </c>
      <c r="G775" s="17" t="s">
        <v>1936</v>
      </c>
      <c r="H775" s="54">
        <v>72.739999999999995</v>
      </c>
      <c r="I775" s="44">
        <v>25.49</v>
      </c>
      <c r="J775" s="39">
        <v>46210</v>
      </c>
      <c r="K775" s="36" t="s">
        <v>2065</v>
      </c>
      <c r="L775" s="37" t="s">
        <v>17</v>
      </c>
    </row>
    <row r="776" spans="1:12">
      <c r="A776" t="s">
        <v>2066</v>
      </c>
      <c r="B776" t="s">
        <v>2067</v>
      </c>
      <c r="C776" s="37" t="s">
        <v>2064</v>
      </c>
      <c r="D776" s="37" t="s">
        <v>15</v>
      </c>
      <c r="E776" s="37" t="s">
        <v>20</v>
      </c>
      <c r="F776" s="38">
        <v>46206</v>
      </c>
      <c r="G776" s="17" t="s">
        <v>1936</v>
      </c>
      <c r="H776" s="54">
        <v>1287.4000000000001</v>
      </c>
      <c r="I776" s="44">
        <v>196.3</v>
      </c>
      <c r="J776" s="39">
        <v>46210</v>
      </c>
      <c r="K776" s="36" t="s">
        <v>2068</v>
      </c>
      <c r="L776" s="37" t="s">
        <v>17</v>
      </c>
    </row>
    <row r="777" spans="1:12">
      <c r="A777" t="s">
        <v>471</v>
      </c>
      <c r="B777" t="s">
        <v>472</v>
      </c>
      <c r="C777" s="37" t="s">
        <v>2064</v>
      </c>
      <c r="D777" s="37" t="s">
        <v>15</v>
      </c>
      <c r="E777" s="37" t="s">
        <v>20</v>
      </c>
      <c r="F777" s="38">
        <v>46206</v>
      </c>
      <c r="G777" s="17" t="s">
        <v>1936</v>
      </c>
      <c r="H777" s="54">
        <v>594.9</v>
      </c>
      <c r="I777" s="44">
        <v>177.71</v>
      </c>
      <c r="J777" s="39">
        <v>46210</v>
      </c>
      <c r="K777" s="36" t="s">
        <v>2069</v>
      </c>
      <c r="L777" s="37" t="s">
        <v>17</v>
      </c>
    </row>
    <row r="778" spans="1:12">
      <c r="A778" t="s">
        <v>1072</v>
      </c>
      <c r="B778" t="s">
        <v>1073</v>
      </c>
      <c r="C778" s="37" t="s">
        <v>2064</v>
      </c>
      <c r="D778" s="37" t="s">
        <v>15</v>
      </c>
      <c r="E778" s="37" t="s">
        <v>20</v>
      </c>
      <c r="F778" s="38">
        <v>46206</v>
      </c>
      <c r="G778" s="17" t="s">
        <v>1936</v>
      </c>
      <c r="H778" s="54">
        <v>76.47</v>
      </c>
      <c r="I778" s="44">
        <v>30.26</v>
      </c>
      <c r="J778" s="39">
        <v>46210</v>
      </c>
      <c r="K778" s="36" t="s">
        <v>2070</v>
      </c>
      <c r="L778" s="37" t="s">
        <v>17</v>
      </c>
    </row>
    <row r="779" spans="1:12">
      <c r="A779" t="s">
        <v>2071</v>
      </c>
      <c r="B779" t="s">
        <v>504</v>
      </c>
      <c r="C779" s="37" t="s">
        <v>2064</v>
      </c>
      <c r="D779" s="37" t="s">
        <v>15</v>
      </c>
      <c r="E779" s="37" t="s">
        <v>20</v>
      </c>
      <c r="F779" s="38">
        <v>46206</v>
      </c>
      <c r="G779" s="17" t="s">
        <v>1936</v>
      </c>
      <c r="H779" s="54">
        <v>101.98</v>
      </c>
      <c r="I779" s="44">
        <v>30.43</v>
      </c>
      <c r="J779" s="39">
        <v>46210</v>
      </c>
      <c r="K779" s="36" t="s">
        <v>2072</v>
      </c>
      <c r="L779" s="37" t="s">
        <v>17</v>
      </c>
    </row>
    <row r="780" spans="1:12">
      <c r="A780" t="s">
        <v>2073</v>
      </c>
      <c r="B780" t="s">
        <v>2074</v>
      </c>
      <c r="C780" s="37" t="s">
        <v>2064</v>
      </c>
      <c r="D780" s="37" t="s">
        <v>15</v>
      </c>
      <c r="E780" s="37" t="s">
        <v>20</v>
      </c>
      <c r="F780" s="38">
        <v>46206</v>
      </c>
      <c r="G780" s="17" t="s">
        <v>1936</v>
      </c>
      <c r="H780" s="54">
        <v>52.99</v>
      </c>
      <c r="I780" s="44">
        <v>8.1</v>
      </c>
      <c r="J780" s="39">
        <v>46210</v>
      </c>
      <c r="K780" s="36" t="s">
        <v>2075</v>
      </c>
      <c r="L780" s="37" t="s">
        <v>17</v>
      </c>
    </row>
    <row r="781" spans="1:12">
      <c r="A781" t="s">
        <v>2076</v>
      </c>
      <c r="B781" t="s">
        <v>2077</v>
      </c>
      <c r="C781" s="37" t="s">
        <v>2064</v>
      </c>
      <c r="D781" s="37" t="s">
        <v>15</v>
      </c>
      <c r="E781" s="37" t="s">
        <v>20</v>
      </c>
      <c r="F781" s="38">
        <v>46206</v>
      </c>
      <c r="G781" s="17" t="s">
        <v>1936</v>
      </c>
      <c r="H781" s="54">
        <v>39.99</v>
      </c>
      <c r="I781" s="44">
        <v>6.17</v>
      </c>
      <c r="J781" s="39">
        <v>46210</v>
      </c>
      <c r="K781" s="36" t="s">
        <v>2078</v>
      </c>
      <c r="L781" s="37" t="s">
        <v>17</v>
      </c>
    </row>
    <row r="782" spans="1:12">
      <c r="A782" t="s">
        <v>489</v>
      </c>
      <c r="B782" t="s">
        <v>490</v>
      </c>
      <c r="C782" s="37" t="s">
        <v>2064</v>
      </c>
      <c r="D782" s="37" t="s">
        <v>15</v>
      </c>
      <c r="E782" s="37" t="s">
        <v>20</v>
      </c>
      <c r="F782" s="38">
        <v>46206</v>
      </c>
      <c r="G782" s="17" t="s">
        <v>1936</v>
      </c>
      <c r="H782" s="54">
        <v>104.42</v>
      </c>
      <c r="I782" s="44">
        <v>33.840000000000003</v>
      </c>
      <c r="J782" s="39">
        <v>46210</v>
      </c>
      <c r="K782" s="36" t="s">
        <v>2079</v>
      </c>
      <c r="L782" s="37" t="s">
        <v>17</v>
      </c>
    </row>
    <row r="783" spans="1:12">
      <c r="A783" t="s">
        <v>506</v>
      </c>
      <c r="B783" t="s">
        <v>507</v>
      </c>
      <c r="C783" s="37" t="s">
        <v>2064</v>
      </c>
      <c r="D783" s="37" t="s">
        <v>15</v>
      </c>
      <c r="E783" s="37" t="s">
        <v>20</v>
      </c>
      <c r="F783" s="38">
        <v>46206</v>
      </c>
      <c r="G783" s="17" t="s">
        <v>1936</v>
      </c>
      <c r="H783" s="54">
        <v>78.42</v>
      </c>
      <c r="I783" s="44">
        <v>25.39</v>
      </c>
      <c r="J783" s="39">
        <v>46210</v>
      </c>
      <c r="K783" s="36" t="s">
        <v>2080</v>
      </c>
      <c r="L783" s="37" t="s">
        <v>17</v>
      </c>
    </row>
    <row r="784" spans="1:12">
      <c r="A784" t="s">
        <v>2081</v>
      </c>
      <c r="B784" t="s">
        <v>2082</v>
      </c>
      <c r="C784" s="37" t="s">
        <v>2064</v>
      </c>
      <c r="D784" s="37" t="s">
        <v>15</v>
      </c>
      <c r="E784" s="37" t="s">
        <v>20</v>
      </c>
      <c r="F784" s="38">
        <v>46206</v>
      </c>
      <c r="G784" s="17" t="s">
        <v>1936</v>
      </c>
      <c r="H784" s="54">
        <v>54.82</v>
      </c>
      <c r="I784" s="44">
        <v>15.74</v>
      </c>
      <c r="J784" s="39">
        <v>46210</v>
      </c>
      <c r="K784" s="36" t="s">
        <v>2083</v>
      </c>
      <c r="L784" s="37" t="s">
        <v>17</v>
      </c>
    </row>
    <row r="785" spans="1:12">
      <c r="A785" t="s">
        <v>2084</v>
      </c>
      <c r="B785" t="s">
        <v>2085</v>
      </c>
      <c r="C785" s="37" t="s">
        <v>2064</v>
      </c>
      <c r="D785" s="37" t="s">
        <v>15</v>
      </c>
      <c r="E785" s="37" t="s">
        <v>16</v>
      </c>
      <c r="F785" s="38">
        <v>46209</v>
      </c>
      <c r="G785" s="17" t="s">
        <v>1936</v>
      </c>
      <c r="H785" s="44">
        <v>92.7</v>
      </c>
      <c r="J785" s="39">
        <v>46210</v>
      </c>
      <c r="L785" s="37" t="s">
        <v>17</v>
      </c>
    </row>
    <row r="786" spans="1:12">
      <c r="A786" t="s">
        <v>481</v>
      </c>
      <c r="B786" t="s">
        <v>482</v>
      </c>
      <c r="C786" s="37" t="s">
        <v>2064</v>
      </c>
      <c r="D786" s="37" t="s">
        <v>15</v>
      </c>
      <c r="E786" s="37" t="s">
        <v>16</v>
      </c>
      <c r="F786" s="38">
        <v>46209</v>
      </c>
      <c r="G786" s="17" t="s">
        <v>1936</v>
      </c>
      <c r="H786" s="44">
        <v>1.68</v>
      </c>
      <c r="J786" s="39">
        <v>46210</v>
      </c>
      <c r="L786" s="37" t="s">
        <v>17</v>
      </c>
    </row>
    <row r="787" spans="1:12">
      <c r="A787" s="43" t="s">
        <v>2086</v>
      </c>
      <c r="B787" s="36" t="s">
        <v>2087</v>
      </c>
      <c r="C787" s="37" t="s">
        <v>2064</v>
      </c>
      <c r="D787" s="37" t="s">
        <v>15</v>
      </c>
      <c r="E787" s="37" t="s">
        <v>16</v>
      </c>
      <c r="F787" s="38">
        <v>46209</v>
      </c>
      <c r="G787" s="39">
        <v>46124</v>
      </c>
      <c r="H787" s="44">
        <v>205.96</v>
      </c>
      <c r="J787" s="39">
        <v>46210</v>
      </c>
      <c r="L787" s="37" t="s">
        <v>17</v>
      </c>
    </row>
    <row r="788" spans="1:12">
      <c r="A788" t="s">
        <v>1941</v>
      </c>
      <c r="B788" t="s">
        <v>1942</v>
      </c>
      <c r="C788" s="37" t="s">
        <v>2064</v>
      </c>
      <c r="D788" s="37" t="s">
        <v>15</v>
      </c>
      <c r="E788" s="37" t="s">
        <v>16</v>
      </c>
      <c r="F788" s="38">
        <v>46209</v>
      </c>
      <c r="G788" s="39">
        <v>46127</v>
      </c>
      <c r="H788" s="44">
        <v>34.229999999999997</v>
      </c>
      <c r="J788" s="39">
        <v>46210</v>
      </c>
      <c r="L788" s="37" t="s">
        <v>17</v>
      </c>
    </row>
    <row r="789" spans="1:12">
      <c r="A789" t="s">
        <v>2088</v>
      </c>
      <c r="B789" t="s">
        <v>2089</v>
      </c>
      <c r="C789" s="37" t="s">
        <v>2064</v>
      </c>
      <c r="D789" s="37" t="s">
        <v>15</v>
      </c>
      <c r="E789" s="37" t="s">
        <v>16</v>
      </c>
      <c r="F789" s="38">
        <v>46209</v>
      </c>
      <c r="G789" s="39">
        <v>46127</v>
      </c>
      <c r="H789" s="54">
        <v>78.72</v>
      </c>
      <c r="J789" s="39">
        <v>46210</v>
      </c>
      <c r="L789" s="37" t="s">
        <v>17</v>
      </c>
    </row>
    <row r="790" spans="1:12">
      <c r="A790" t="s">
        <v>2090</v>
      </c>
      <c r="B790" t="s">
        <v>2091</v>
      </c>
      <c r="C790" s="37" t="s">
        <v>2064</v>
      </c>
      <c r="D790" s="37" t="s">
        <v>15</v>
      </c>
      <c r="E790" s="37" t="s">
        <v>16</v>
      </c>
      <c r="F790" s="38">
        <v>46209</v>
      </c>
      <c r="G790" s="39">
        <v>46127</v>
      </c>
      <c r="H790" s="54">
        <v>98.48</v>
      </c>
      <c r="J790" s="39">
        <v>46210</v>
      </c>
      <c r="L790" s="37" t="s">
        <v>17</v>
      </c>
    </row>
    <row r="791" spans="1:12">
      <c r="A791" t="s">
        <v>2092</v>
      </c>
      <c r="B791" t="s">
        <v>2093</v>
      </c>
      <c r="C791" s="37" t="s">
        <v>2064</v>
      </c>
      <c r="D791" s="37" t="s">
        <v>15</v>
      </c>
      <c r="E791" s="37" t="s">
        <v>16</v>
      </c>
      <c r="F791" s="38">
        <v>46209</v>
      </c>
      <c r="G791" s="39">
        <v>46127</v>
      </c>
      <c r="H791" s="54">
        <v>64.17</v>
      </c>
      <c r="J791" s="39">
        <v>46210</v>
      </c>
      <c r="L791" s="37" t="s">
        <v>17</v>
      </c>
    </row>
    <row r="792" spans="1:12">
      <c r="A792" t="s">
        <v>2094</v>
      </c>
      <c r="B792" t="s">
        <v>2095</v>
      </c>
      <c r="C792" s="37" t="s">
        <v>2064</v>
      </c>
      <c r="D792" s="37" t="s">
        <v>15</v>
      </c>
      <c r="E792" s="37" t="s">
        <v>16</v>
      </c>
      <c r="F792" s="38">
        <v>46209</v>
      </c>
      <c r="G792" s="39">
        <v>46127</v>
      </c>
      <c r="H792" s="54">
        <v>41.24</v>
      </c>
      <c r="J792" s="39">
        <v>46210</v>
      </c>
      <c r="L792" s="37" t="s">
        <v>17</v>
      </c>
    </row>
    <row r="793" spans="1:12">
      <c r="A793" t="s">
        <v>2096</v>
      </c>
      <c r="B793" t="s">
        <v>2097</v>
      </c>
      <c r="C793" s="37" t="s">
        <v>2064</v>
      </c>
      <c r="D793" s="37" t="s">
        <v>15</v>
      </c>
      <c r="E793" s="37" t="s">
        <v>20</v>
      </c>
      <c r="F793" s="38">
        <v>46209</v>
      </c>
      <c r="G793" s="39">
        <v>46127</v>
      </c>
      <c r="H793" s="44">
        <v>46.14</v>
      </c>
      <c r="I793" s="44">
        <v>14.17</v>
      </c>
      <c r="J793" s="39">
        <v>46214</v>
      </c>
      <c r="K793" s="36" t="s">
        <v>2098</v>
      </c>
      <c r="L793" s="37" t="s">
        <v>17</v>
      </c>
    </row>
    <row r="794" spans="1:12">
      <c r="A794" t="s">
        <v>2099</v>
      </c>
      <c r="B794" t="s">
        <v>2100</v>
      </c>
      <c r="C794" s="37" t="s">
        <v>2064</v>
      </c>
      <c r="D794" s="37" t="s">
        <v>15</v>
      </c>
      <c r="E794" s="37" t="s">
        <v>20</v>
      </c>
      <c r="F794" s="38">
        <v>46209</v>
      </c>
      <c r="G794" s="39">
        <v>46127</v>
      </c>
      <c r="H794" s="44">
        <v>92.81</v>
      </c>
      <c r="I794" s="44">
        <v>28.13</v>
      </c>
      <c r="J794" s="39">
        <v>46214</v>
      </c>
      <c r="K794" s="36" t="s">
        <v>2101</v>
      </c>
      <c r="L794" s="37" t="s">
        <v>17</v>
      </c>
    </row>
    <row r="795" spans="1:12">
      <c r="A795" t="s">
        <v>2102</v>
      </c>
      <c r="B795" t="s">
        <v>2103</v>
      </c>
      <c r="C795" s="37" t="s">
        <v>2064</v>
      </c>
      <c r="D795" s="37" t="s">
        <v>15</v>
      </c>
      <c r="E795" s="37" t="s">
        <v>20</v>
      </c>
      <c r="F795" s="38">
        <v>46209</v>
      </c>
      <c r="G795" s="39">
        <v>46127</v>
      </c>
      <c r="H795" s="44">
        <v>96.38</v>
      </c>
      <c r="I795" s="44">
        <v>28.65</v>
      </c>
      <c r="J795" s="39">
        <v>46214</v>
      </c>
      <c r="K795" s="36" t="s">
        <v>2104</v>
      </c>
      <c r="L795" s="37" t="s">
        <v>17</v>
      </c>
    </row>
    <row r="796" spans="1:12">
      <c r="A796" t="s">
        <v>2105</v>
      </c>
      <c r="B796" t="s">
        <v>2106</v>
      </c>
      <c r="C796" s="37" t="s">
        <v>2064</v>
      </c>
      <c r="D796" s="37" t="s">
        <v>15</v>
      </c>
      <c r="E796" s="37" t="s">
        <v>20</v>
      </c>
      <c r="F796" s="38">
        <v>46209</v>
      </c>
      <c r="G796" s="39">
        <v>46127</v>
      </c>
      <c r="H796" s="44">
        <v>47.3</v>
      </c>
      <c r="I796" s="44">
        <v>14.34</v>
      </c>
      <c r="J796" s="39">
        <v>46214</v>
      </c>
      <c r="K796" s="36" t="s">
        <v>2107</v>
      </c>
      <c r="L796" s="37" t="s">
        <v>17</v>
      </c>
    </row>
    <row r="797" spans="1:12">
      <c r="A797" t="s">
        <v>2108</v>
      </c>
      <c r="B797" t="s">
        <v>2109</v>
      </c>
      <c r="C797" s="37" t="s">
        <v>2064</v>
      </c>
      <c r="D797" s="37" t="s">
        <v>15</v>
      </c>
      <c r="E797" s="37" t="s">
        <v>20</v>
      </c>
      <c r="F797" s="38">
        <v>46209</v>
      </c>
      <c r="G797" s="39">
        <v>46127</v>
      </c>
      <c r="H797" s="44">
        <v>104.43</v>
      </c>
      <c r="I797" s="44">
        <v>29.83</v>
      </c>
      <c r="J797" s="39">
        <v>46214</v>
      </c>
      <c r="K797" s="36" t="s">
        <v>2110</v>
      </c>
      <c r="L797" s="37" t="s">
        <v>17</v>
      </c>
    </row>
    <row r="798" spans="1:12">
      <c r="A798" t="s">
        <v>2111</v>
      </c>
      <c r="B798" t="s">
        <v>2112</v>
      </c>
      <c r="C798" s="37" t="s">
        <v>2064</v>
      </c>
      <c r="D798" s="37" t="s">
        <v>15</v>
      </c>
      <c r="E798" s="37" t="s">
        <v>20</v>
      </c>
      <c r="F798" s="38">
        <v>46209</v>
      </c>
      <c r="G798" s="39">
        <v>46127</v>
      </c>
      <c r="H798" s="44">
        <v>119.98</v>
      </c>
      <c r="I798" s="44">
        <v>17.59</v>
      </c>
      <c r="J798" s="39">
        <v>46214</v>
      </c>
      <c r="K798" s="36" t="s">
        <v>2113</v>
      </c>
      <c r="L798" s="37" t="s">
        <v>17</v>
      </c>
    </row>
    <row r="799" spans="1:12">
      <c r="A799" t="s">
        <v>2114</v>
      </c>
      <c r="B799" t="s">
        <v>2115</v>
      </c>
      <c r="C799" s="37" t="s">
        <v>2064</v>
      </c>
      <c r="D799" s="37" t="s">
        <v>15</v>
      </c>
      <c r="E799" s="37" t="s">
        <v>20</v>
      </c>
      <c r="F799" s="38">
        <v>46209</v>
      </c>
      <c r="G799" s="39">
        <v>46127</v>
      </c>
      <c r="H799" s="44">
        <v>50.99</v>
      </c>
      <c r="I799" s="44">
        <v>7.48</v>
      </c>
      <c r="J799" s="39">
        <v>46214</v>
      </c>
      <c r="K799" s="36" t="s">
        <v>2116</v>
      </c>
      <c r="L799" s="37" t="s">
        <v>17</v>
      </c>
    </row>
    <row r="800" spans="1:12">
      <c r="A800" t="s">
        <v>2117</v>
      </c>
      <c r="B800" t="s">
        <v>2118</v>
      </c>
      <c r="C800" s="37" t="s">
        <v>2064</v>
      </c>
      <c r="D800" s="37" t="s">
        <v>15</v>
      </c>
      <c r="E800" s="37" t="s">
        <v>20</v>
      </c>
      <c r="F800" s="38">
        <v>46209</v>
      </c>
      <c r="G800" s="39">
        <v>46127</v>
      </c>
      <c r="H800" s="44">
        <v>103.38</v>
      </c>
      <c r="I800" s="44">
        <v>29.68</v>
      </c>
      <c r="J800" s="39">
        <v>46214</v>
      </c>
      <c r="K800" s="36" t="s">
        <v>2119</v>
      </c>
      <c r="L800" s="37" t="s">
        <v>17</v>
      </c>
    </row>
    <row r="801" spans="1:12">
      <c r="A801" t="s">
        <v>2120</v>
      </c>
      <c r="B801" t="s">
        <v>2121</v>
      </c>
      <c r="C801" s="37" t="s">
        <v>2064</v>
      </c>
      <c r="D801" s="37" t="s">
        <v>15</v>
      </c>
      <c r="E801" s="37" t="s">
        <v>20</v>
      </c>
      <c r="F801" s="38">
        <v>46209</v>
      </c>
      <c r="G801" s="39">
        <v>46127</v>
      </c>
      <c r="H801" s="44">
        <v>103.38</v>
      </c>
      <c r="I801" s="44">
        <v>15.16</v>
      </c>
      <c r="J801" s="39">
        <v>46214</v>
      </c>
      <c r="K801" s="36" t="s">
        <v>2122</v>
      </c>
      <c r="L801" s="37" t="s">
        <v>17</v>
      </c>
    </row>
    <row r="802" spans="1:12">
      <c r="A802" t="s">
        <v>2123</v>
      </c>
      <c r="B802" t="s">
        <v>2124</v>
      </c>
      <c r="C802" s="37" t="s">
        <v>2064</v>
      </c>
      <c r="D802" s="37" t="s">
        <v>15</v>
      </c>
      <c r="E802" s="37" t="s">
        <v>20</v>
      </c>
      <c r="F802" s="38">
        <v>46209</v>
      </c>
      <c r="G802" s="39">
        <v>46127</v>
      </c>
      <c r="H802" s="44">
        <v>74.45</v>
      </c>
      <c r="I802" s="44">
        <v>21.08</v>
      </c>
      <c r="J802" s="39">
        <v>46214</v>
      </c>
      <c r="K802" s="36" t="s">
        <v>2125</v>
      </c>
      <c r="L802" s="37" t="s">
        <v>17</v>
      </c>
    </row>
    <row r="803" spans="1:12">
      <c r="A803" t="s">
        <v>2126</v>
      </c>
      <c r="B803" t="s">
        <v>2127</v>
      </c>
      <c r="C803" s="37" t="s">
        <v>2064</v>
      </c>
      <c r="D803" s="37" t="s">
        <v>15</v>
      </c>
      <c r="E803" s="37" t="s">
        <v>20</v>
      </c>
      <c r="F803" s="38">
        <v>46210</v>
      </c>
      <c r="G803" s="39">
        <v>46127</v>
      </c>
      <c r="H803" s="54">
        <v>103.38</v>
      </c>
      <c r="I803" s="44">
        <v>15.58</v>
      </c>
      <c r="J803" s="39">
        <v>46215</v>
      </c>
      <c r="K803" s="36" t="s">
        <v>2128</v>
      </c>
      <c r="L803" s="37" t="s">
        <v>17</v>
      </c>
    </row>
    <row r="804" spans="1:12">
      <c r="A804" t="s">
        <v>2129</v>
      </c>
      <c r="B804" t="s">
        <v>2130</v>
      </c>
      <c r="C804" s="37" t="s">
        <v>2064</v>
      </c>
      <c r="D804" s="37" t="s">
        <v>15</v>
      </c>
      <c r="E804" s="37" t="s">
        <v>20</v>
      </c>
      <c r="F804" s="38">
        <v>46210</v>
      </c>
      <c r="G804" s="39">
        <v>46127</v>
      </c>
      <c r="H804" s="54">
        <v>588.23</v>
      </c>
      <c r="I804" s="44">
        <v>202.17</v>
      </c>
      <c r="J804" s="39">
        <v>46216</v>
      </c>
      <c r="K804" s="36" t="s">
        <v>2131</v>
      </c>
      <c r="L804" s="37" t="s">
        <v>17</v>
      </c>
    </row>
    <row r="805" spans="1:12">
      <c r="A805" t="s">
        <v>640</v>
      </c>
      <c r="B805" t="s">
        <v>641</v>
      </c>
      <c r="C805" s="37" t="s">
        <v>2064</v>
      </c>
      <c r="D805" s="37" t="s">
        <v>15</v>
      </c>
      <c r="E805" s="37" t="s">
        <v>20</v>
      </c>
      <c r="F805" s="38">
        <v>46210</v>
      </c>
      <c r="G805" s="39">
        <v>46127</v>
      </c>
      <c r="H805" s="54">
        <v>59.48</v>
      </c>
      <c r="I805" s="44">
        <v>17.329999999999998</v>
      </c>
      <c r="J805" s="39">
        <v>46216</v>
      </c>
      <c r="K805" s="36" t="s">
        <v>2132</v>
      </c>
      <c r="L805" s="37" t="s">
        <v>17</v>
      </c>
    </row>
    <row r="806" spans="1:12">
      <c r="A806" t="s">
        <v>1014</v>
      </c>
      <c r="B806" t="s">
        <v>1015</v>
      </c>
      <c r="C806" s="37" t="s">
        <v>2064</v>
      </c>
      <c r="D806" s="37" t="s">
        <v>15</v>
      </c>
      <c r="E806" s="37" t="s">
        <v>20</v>
      </c>
      <c r="F806" s="38">
        <v>46210</v>
      </c>
      <c r="G806" s="39">
        <v>46127</v>
      </c>
      <c r="H806" s="54">
        <v>59.48</v>
      </c>
      <c r="I806" s="44">
        <v>28.49</v>
      </c>
      <c r="J806" s="39">
        <v>46216</v>
      </c>
      <c r="K806" s="36" t="s">
        <v>2133</v>
      </c>
      <c r="L806" s="37" t="s">
        <v>17</v>
      </c>
    </row>
    <row r="807" spans="1:12">
      <c r="A807" t="s">
        <v>2134</v>
      </c>
      <c r="B807" t="s">
        <v>2135</v>
      </c>
      <c r="C807" s="37" t="s">
        <v>2064</v>
      </c>
      <c r="D807" s="37" t="s">
        <v>15</v>
      </c>
      <c r="E807" s="37" t="s">
        <v>20</v>
      </c>
      <c r="F807" s="38">
        <v>46210</v>
      </c>
      <c r="G807" s="39">
        <v>46127</v>
      </c>
      <c r="H807" s="54">
        <v>99.99</v>
      </c>
      <c r="I807" s="44">
        <v>15.15</v>
      </c>
      <c r="J807" s="39">
        <v>46216</v>
      </c>
      <c r="K807" s="36" t="s">
        <v>2136</v>
      </c>
      <c r="L807" s="37" t="s">
        <v>17</v>
      </c>
    </row>
    <row r="808" spans="1:12">
      <c r="A808" t="s">
        <v>610</v>
      </c>
      <c r="B808" t="s">
        <v>611</v>
      </c>
      <c r="C808" s="37" t="s">
        <v>2064</v>
      </c>
      <c r="D808" s="37" t="s">
        <v>15</v>
      </c>
      <c r="E808" s="37" t="s">
        <v>20</v>
      </c>
      <c r="F808" s="38">
        <v>46210</v>
      </c>
      <c r="G808" s="39">
        <v>46127</v>
      </c>
      <c r="H808" s="54">
        <v>85</v>
      </c>
      <c r="I808" s="44">
        <v>27.15</v>
      </c>
      <c r="J808" s="39">
        <v>46216</v>
      </c>
      <c r="K808" s="36" t="s">
        <v>2137</v>
      </c>
      <c r="L808" s="37" t="s">
        <v>17</v>
      </c>
    </row>
    <row r="809" spans="1:12">
      <c r="A809" t="s">
        <v>2138</v>
      </c>
      <c r="B809" t="s">
        <v>2139</v>
      </c>
      <c r="C809" s="37" t="s">
        <v>2064</v>
      </c>
      <c r="D809" s="37" t="s">
        <v>15</v>
      </c>
      <c r="E809" s="37" t="s">
        <v>20</v>
      </c>
      <c r="F809" s="38">
        <v>46210</v>
      </c>
      <c r="G809" s="39">
        <v>46127</v>
      </c>
      <c r="H809" s="54">
        <v>99.99</v>
      </c>
      <c r="I809" s="44">
        <v>14.97</v>
      </c>
      <c r="J809" s="39">
        <v>46216</v>
      </c>
      <c r="K809" s="36" t="s">
        <v>2140</v>
      </c>
      <c r="L809" s="37" t="s">
        <v>17</v>
      </c>
    </row>
    <row r="810" spans="1:12">
      <c r="A810" t="s">
        <v>613</v>
      </c>
      <c r="B810" t="s">
        <v>614</v>
      </c>
      <c r="C810" s="37" t="s">
        <v>2064</v>
      </c>
      <c r="D810" s="37" t="s">
        <v>15</v>
      </c>
      <c r="E810" s="37" t="s">
        <v>20</v>
      </c>
      <c r="F810" s="38">
        <v>46210</v>
      </c>
      <c r="G810" s="39">
        <v>46127</v>
      </c>
      <c r="H810" s="54">
        <v>85</v>
      </c>
      <c r="I810" s="44">
        <v>17.16</v>
      </c>
      <c r="J810" s="39">
        <v>46216</v>
      </c>
      <c r="K810" s="36" t="s">
        <v>2141</v>
      </c>
      <c r="L810" s="37" t="s">
        <v>17</v>
      </c>
    </row>
    <row r="811" spans="1:12">
      <c r="A811" t="s">
        <v>1019</v>
      </c>
      <c r="B811" t="s">
        <v>1020</v>
      </c>
      <c r="C811" s="37" t="s">
        <v>2064</v>
      </c>
      <c r="D811" s="37" t="s">
        <v>15</v>
      </c>
      <c r="E811" s="37" t="s">
        <v>20</v>
      </c>
      <c r="F811" s="38">
        <v>46210</v>
      </c>
      <c r="G811" s="39">
        <v>46127</v>
      </c>
      <c r="H811" s="54">
        <v>50.99</v>
      </c>
      <c r="I811" s="44">
        <v>16.54</v>
      </c>
      <c r="J811" s="39">
        <v>46216</v>
      </c>
      <c r="K811" s="36" t="s">
        <v>2142</v>
      </c>
      <c r="L811" s="37" t="s">
        <v>17</v>
      </c>
    </row>
    <row r="812" spans="1:12">
      <c r="A812" t="s">
        <v>616</v>
      </c>
      <c r="B812" t="s">
        <v>617</v>
      </c>
      <c r="C812" s="37" t="s">
        <v>2064</v>
      </c>
      <c r="D812" s="37" t="s">
        <v>15</v>
      </c>
      <c r="E812" s="37" t="s">
        <v>20</v>
      </c>
      <c r="F812" s="38">
        <v>46210</v>
      </c>
      <c r="G812" s="39">
        <v>46127</v>
      </c>
      <c r="H812" s="54">
        <v>85</v>
      </c>
      <c r="I812" s="44">
        <v>27.15</v>
      </c>
      <c r="J812" s="39">
        <v>46216</v>
      </c>
      <c r="K812" s="36" t="s">
        <v>2143</v>
      </c>
      <c r="L812" s="37" t="s">
        <v>17</v>
      </c>
    </row>
    <row r="813" spans="1:12">
      <c r="A813" t="s">
        <v>2144</v>
      </c>
      <c r="B813" t="s">
        <v>2145</v>
      </c>
      <c r="C813" s="37" t="s">
        <v>2064</v>
      </c>
      <c r="D813" s="37" t="s">
        <v>15</v>
      </c>
      <c r="E813" s="37" t="s">
        <v>20</v>
      </c>
      <c r="F813" s="38">
        <v>46211</v>
      </c>
      <c r="G813" s="39">
        <v>46127</v>
      </c>
      <c r="H813" s="54">
        <v>99.99</v>
      </c>
      <c r="I813" s="44">
        <v>15.18</v>
      </c>
      <c r="J813" s="39">
        <v>46216</v>
      </c>
      <c r="K813" s="36" t="s">
        <v>2146</v>
      </c>
      <c r="L813" s="37" t="s">
        <v>17</v>
      </c>
    </row>
    <row r="814" spans="1:12">
      <c r="A814" t="s">
        <v>619</v>
      </c>
      <c r="B814" t="s">
        <v>620</v>
      </c>
      <c r="C814" s="37" t="s">
        <v>2064</v>
      </c>
      <c r="D814" s="37" t="s">
        <v>15</v>
      </c>
      <c r="E814" s="37" t="s">
        <v>20</v>
      </c>
      <c r="F814" s="38">
        <v>46211</v>
      </c>
      <c r="G814" s="39">
        <v>46127</v>
      </c>
      <c r="H814" s="54">
        <v>85</v>
      </c>
      <c r="I814" s="44">
        <v>27.16</v>
      </c>
      <c r="J814" s="39">
        <v>46216</v>
      </c>
      <c r="K814" s="36" t="s">
        <v>2147</v>
      </c>
      <c r="L814" s="37" t="s">
        <v>17</v>
      </c>
    </row>
    <row r="815" spans="1:12">
      <c r="A815" t="s">
        <v>544</v>
      </c>
      <c r="B815" t="s">
        <v>545</v>
      </c>
      <c r="C815" s="37" t="s">
        <v>2064</v>
      </c>
      <c r="D815" s="37" t="s">
        <v>15</v>
      </c>
      <c r="E815" s="37" t="s">
        <v>20</v>
      </c>
      <c r="F815" s="38">
        <v>46211</v>
      </c>
      <c r="G815" s="39">
        <v>46127</v>
      </c>
      <c r="H815" s="54">
        <v>254.98</v>
      </c>
      <c r="I815" s="44">
        <v>50.87</v>
      </c>
      <c r="J815" s="39">
        <v>46216</v>
      </c>
      <c r="K815" s="36" t="s">
        <v>2148</v>
      </c>
      <c r="L815" s="37" t="s">
        <v>17</v>
      </c>
    </row>
    <row r="816" spans="1:12">
      <c r="A816" t="s">
        <v>2149</v>
      </c>
      <c r="B816" t="s">
        <v>2150</v>
      </c>
      <c r="C816" s="37" t="s">
        <v>2064</v>
      </c>
      <c r="D816" s="37" t="s">
        <v>15</v>
      </c>
      <c r="E816" s="37" t="s">
        <v>20</v>
      </c>
      <c r="F816" s="38">
        <v>46211</v>
      </c>
      <c r="G816" s="39">
        <v>46127</v>
      </c>
      <c r="H816" s="54">
        <v>99.81</v>
      </c>
      <c r="I816" s="44">
        <v>29.18</v>
      </c>
      <c r="J816" s="39">
        <v>46216</v>
      </c>
      <c r="K816" s="36" t="s">
        <v>2151</v>
      </c>
      <c r="L816" s="37" t="s">
        <v>17</v>
      </c>
    </row>
    <row r="817" spans="1:12">
      <c r="A817" t="s">
        <v>2152</v>
      </c>
      <c r="B817" t="s">
        <v>2153</v>
      </c>
      <c r="C817" s="37" t="s">
        <v>2064</v>
      </c>
      <c r="D817" s="37" t="s">
        <v>15</v>
      </c>
      <c r="E817" s="37" t="s">
        <v>16</v>
      </c>
      <c r="F817" s="38">
        <v>46216</v>
      </c>
      <c r="G817" s="39">
        <v>46127</v>
      </c>
      <c r="H817" s="54">
        <v>39.99</v>
      </c>
      <c r="J817" s="39">
        <v>46216</v>
      </c>
      <c r="L817" s="37" t="s">
        <v>17</v>
      </c>
    </row>
    <row r="818" spans="1:12">
      <c r="A818" t="s">
        <v>2154</v>
      </c>
      <c r="B818" t="s">
        <v>2155</v>
      </c>
      <c r="C818" s="37" t="s">
        <v>2064</v>
      </c>
      <c r="D818" s="37" t="s">
        <v>15</v>
      </c>
      <c r="E818" s="37" t="s">
        <v>20</v>
      </c>
      <c r="F818" s="38">
        <v>46211</v>
      </c>
      <c r="G818" s="39">
        <v>46127</v>
      </c>
      <c r="H818" s="54">
        <v>99.99</v>
      </c>
      <c r="I818" s="44">
        <v>15.08</v>
      </c>
      <c r="J818" s="39">
        <v>46216</v>
      </c>
      <c r="K818" s="36" t="s">
        <v>2156</v>
      </c>
      <c r="L818" s="37" t="s">
        <v>17</v>
      </c>
    </row>
    <row r="819" spans="1:12">
      <c r="A819" t="s">
        <v>530</v>
      </c>
      <c r="B819" t="s">
        <v>531</v>
      </c>
      <c r="C819" s="37" t="s">
        <v>2064</v>
      </c>
      <c r="D819" s="37" t="s">
        <v>15</v>
      </c>
      <c r="E819" s="37" t="s">
        <v>20</v>
      </c>
      <c r="F819" s="38">
        <v>46211</v>
      </c>
      <c r="G819" s="39">
        <v>46127</v>
      </c>
      <c r="H819" s="54">
        <v>423.17</v>
      </c>
      <c r="I819" s="44">
        <v>143.97999999999999</v>
      </c>
      <c r="J819" s="39">
        <v>46216</v>
      </c>
      <c r="K819" s="36" t="s">
        <v>2157</v>
      </c>
      <c r="L819" s="37" t="s">
        <v>17</v>
      </c>
    </row>
    <row r="820" spans="1:12">
      <c r="A820" t="s">
        <v>2158</v>
      </c>
      <c r="B820" t="s">
        <v>1871</v>
      </c>
      <c r="C820" s="37" t="s">
        <v>2064</v>
      </c>
      <c r="D820" s="37" t="s">
        <v>15</v>
      </c>
      <c r="E820" s="37" t="s">
        <v>20</v>
      </c>
      <c r="F820" s="38">
        <v>46211</v>
      </c>
      <c r="G820" s="39">
        <v>46127</v>
      </c>
      <c r="H820" s="54">
        <v>106.17</v>
      </c>
      <c r="I820" s="44">
        <v>16.100000000000001</v>
      </c>
      <c r="J820" s="39">
        <v>46216</v>
      </c>
      <c r="K820" s="36" t="s">
        <v>2159</v>
      </c>
      <c r="L820" s="37" t="s">
        <v>17</v>
      </c>
    </row>
    <row r="821" spans="1:12">
      <c r="A821" t="s">
        <v>1028</v>
      </c>
      <c r="B821" t="s">
        <v>1029</v>
      </c>
      <c r="C821" s="37" t="s">
        <v>2064</v>
      </c>
      <c r="D821" s="37" t="s">
        <v>15</v>
      </c>
      <c r="E821" s="37" t="s">
        <v>20</v>
      </c>
      <c r="F821" s="38">
        <v>46211</v>
      </c>
      <c r="G821" s="39">
        <v>46127</v>
      </c>
      <c r="H821" s="54">
        <v>43.81</v>
      </c>
      <c r="I821" s="44">
        <v>14.13</v>
      </c>
      <c r="J821" s="39">
        <v>46216</v>
      </c>
      <c r="K821" s="36" t="s">
        <v>2160</v>
      </c>
      <c r="L821" s="37" t="s">
        <v>17</v>
      </c>
    </row>
    <row r="822" spans="1:12">
      <c r="A822" t="s">
        <v>574</v>
      </c>
      <c r="B822" t="s">
        <v>575</v>
      </c>
      <c r="C822" s="37" t="s">
        <v>2064</v>
      </c>
      <c r="D822" s="37" t="s">
        <v>15</v>
      </c>
      <c r="E822" s="37" t="s">
        <v>20</v>
      </c>
      <c r="F822" s="38">
        <v>46211</v>
      </c>
      <c r="G822" s="39">
        <v>46127</v>
      </c>
      <c r="H822" s="54">
        <v>86.96</v>
      </c>
      <c r="I822" s="44">
        <v>28.24</v>
      </c>
      <c r="J822" s="39">
        <v>46216</v>
      </c>
      <c r="K822" s="36" t="s">
        <v>2161</v>
      </c>
      <c r="L822" s="37" t="s">
        <v>17</v>
      </c>
    </row>
    <row r="823" spans="1:12">
      <c r="A823" s="43" t="s">
        <v>2162</v>
      </c>
      <c r="B823" s="6" t="s">
        <v>2163</v>
      </c>
      <c r="C823" s="37" t="s">
        <v>14</v>
      </c>
      <c r="D823" s="37" t="s">
        <v>783</v>
      </c>
      <c r="F823" s="38">
        <v>46218</v>
      </c>
      <c r="G823" s="59" t="s">
        <v>2164</v>
      </c>
      <c r="H823" s="54">
        <v>108.66</v>
      </c>
      <c r="I823" s="54"/>
      <c r="L823" s="37" t="s">
        <v>784</v>
      </c>
    </row>
    <row r="824" spans="1:12">
      <c r="A824" s="43" t="s">
        <v>2165</v>
      </c>
      <c r="B824" s="6" t="s">
        <v>2166</v>
      </c>
      <c r="C824" s="37" t="s">
        <v>14</v>
      </c>
      <c r="D824" s="37" t="s">
        <v>15</v>
      </c>
      <c r="E824" s="37" t="s">
        <v>55</v>
      </c>
      <c r="F824" s="38">
        <v>46213</v>
      </c>
      <c r="G824" s="59" t="s">
        <v>2167</v>
      </c>
      <c r="H824" s="54">
        <v>90.03</v>
      </c>
      <c r="I824" s="54">
        <v>38.51</v>
      </c>
      <c r="J824" s="39">
        <v>46218</v>
      </c>
      <c r="K824" s="36" t="s">
        <v>2168</v>
      </c>
      <c r="L824" s="37" t="s">
        <v>17</v>
      </c>
    </row>
    <row r="825" spans="1:12">
      <c r="A825" s="43" t="s">
        <v>2169</v>
      </c>
      <c r="B825" s="6" t="s">
        <v>2170</v>
      </c>
      <c r="C825" s="37" t="s">
        <v>14</v>
      </c>
      <c r="D825" s="37" t="s">
        <v>15</v>
      </c>
      <c r="E825" s="37" t="s">
        <v>23</v>
      </c>
      <c r="F825" s="38">
        <v>46213</v>
      </c>
      <c r="G825" s="60" t="s">
        <v>2167</v>
      </c>
      <c r="H825" s="54">
        <v>112.41</v>
      </c>
      <c r="I825" s="54">
        <v>45.64</v>
      </c>
      <c r="J825" s="39">
        <v>46218</v>
      </c>
      <c r="K825" s="36" t="s">
        <v>2171</v>
      </c>
      <c r="L825" s="37" t="s">
        <v>17</v>
      </c>
    </row>
    <row r="826" spans="1:12">
      <c r="A826" s="43" t="s">
        <v>2172</v>
      </c>
      <c r="B826" s="6" t="s">
        <v>2173</v>
      </c>
      <c r="C826" s="37" t="s">
        <v>14</v>
      </c>
      <c r="D826" s="37" t="s">
        <v>15</v>
      </c>
      <c r="E826" s="37" t="s">
        <v>55</v>
      </c>
      <c r="F826" s="38">
        <v>46213</v>
      </c>
      <c r="G826" s="59" t="s">
        <v>2167</v>
      </c>
      <c r="H826" s="54">
        <v>66.03</v>
      </c>
      <c r="I826" s="54">
        <v>44.47</v>
      </c>
      <c r="J826" s="39">
        <v>46218</v>
      </c>
      <c r="K826" s="36" t="s">
        <v>2174</v>
      </c>
      <c r="L826" s="37" t="s">
        <v>17</v>
      </c>
    </row>
    <row r="827" spans="1:12">
      <c r="A827" s="43" t="s">
        <v>2175</v>
      </c>
      <c r="B827" s="6" t="s">
        <v>2176</v>
      </c>
      <c r="C827" s="37" t="s">
        <v>14</v>
      </c>
      <c r="D827" s="37" t="s">
        <v>15</v>
      </c>
      <c r="E827" s="37" t="s">
        <v>23</v>
      </c>
      <c r="F827" s="38">
        <v>46216</v>
      </c>
      <c r="G827" s="59" t="s">
        <v>2167</v>
      </c>
      <c r="H827" s="54">
        <v>121.36</v>
      </c>
      <c r="I827" s="54">
        <v>25.49</v>
      </c>
      <c r="J827" s="39">
        <v>46220</v>
      </c>
      <c r="K827" s="36" t="s">
        <v>2177</v>
      </c>
      <c r="L827" s="37" t="s">
        <v>784</v>
      </c>
    </row>
    <row r="828" spans="1:12">
      <c r="A828" s="43" t="s">
        <v>2178</v>
      </c>
      <c r="B828" s="6" t="s">
        <v>2179</v>
      </c>
      <c r="C828" s="37" t="s">
        <v>14</v>
      </c>
      <c r="D828" s="37" t="s">
        <v>15</v>
      </c>
      <c r="E828" s="37" t="s">
        <v>55</v>
      </c>
      <c r="F828" s="38">
        <v>46213</v>
      </c>
      <c r="G828" s="60" t="s">
        <v>2167</v>
      </c>
      <c r="H828" s="54">
        <v>73.36</v>
      </c>
      <c r="I828" s="54">
        <v>27.81</v>
      </c>
      <c r="J828" s="39">
        <v>46218</v>
      </c>
      <c r="K828" s="36" t="s">
        <v>2180</v>
      </c>
      <c r="L828" s="37" t="s">
        <v>17</v>
      </c>
    </row>
    <row r="829" spans="1:12">
      <c r="A829" s="43" t="s">
        <v>785</v>
      </c>
      <c r="B829" s="6" t="s">
        <v>786</v>
      </c>
      <c r="C829" s="37" t="s">
        <v>14</v>
      </c>
      <c r="D829" s="37" t="s">
        <v>15</v>
      </c>
      <c r="E829" s="37" t="s">
        <v>58</v>
      </c>
      <c r="F829" s="38">
        <v>46212</v>
      </c>
      <c r="G829" s="60" t="s">
        <v>2164</v>
      </c>
      <c r="H829" s="54">
        <v>109.99</v>
      </c>
      <c r="I829" s="54">
        <v>44.61</v>
      </c>
      <c r="J829" s="39">
        <v>46216</v>
      </c>
      <c r="K829" s="36" t="s">
        <v>2181</v>
      </c>
      <c r="L829" s="37" t="s">
        <v>17</v>
      </c>
    </row>
    <row r="830" spans="1:12">
      <c r="A830" s="43" t="s">
        <v>2182</v>
      </c>
      <c r="B830" s="6" t="s">
        <v>2183</v>
      </c>
      <c r="C830" s="37" t="s">
        <v>14</v>
      </c>
      <c r="D830" s="37" t="s">
        <v>15</v>
      </c>
      <c r="E830" s="37" t="s">
        <v>58</v>
      </c>
      <c r="F830" s="38">
        <v>46212</v>
      </c>
      <c r="G830" s="60" t="s">
        <v>2167</v>
      </c>
      <c r="H830" s="54">
        <v>109.99</v>
      </c>
      <c r="I830" s="54">
        <v>55.81</v>
      </c>
      <c r="J830" s="39">
        <v>46216</v>
      </c>
      <c r="K830" s="36" t="s">
        <v>2184</v>
      </c>
      <c r="L830" s="37" t="s">
        <v>17</v>
      </c>
    </row>
    <row r="831" spans="1:12">
      <c r="A831" s="43" t="s">
        <v>2185</v>
      </c>
      <c r="B831" s="6" t="s">
        <v>2186</v>
      </c>
      <c r="C831" s="37" t="s">
        <v>14</v>
      </c>
      <c r="D831" s="37" t="s">
        <v>15</v>
      </c>
      <c r="E831" s="37" t="s">
        <v>55</v>
      </c>
      <c r="F831" s="38">
        <v>46212</v>
      </c>
      <c r="G831" s="60" t="s">
        <v>2167</v>
      </c>
      <c r="H831" s="54">
        <v>109.99</v>
      </c>
      <c r="I831" s="54">
        <v>58.5</v>
      </c>
      <c r="J831" s="39">
        <v>46217</v>
      </c>
      <c r="K831" s="36" t="s">
        <v>2187</v>
      </c>
      <c r="L831" s="37" t="s">
        <v>17</v>
      </c>
    </row>
    <row r="832" spans="1:12">
      <c r="A832" s="43" t="s">
        <v>703</v>
      </c>
      <c r="B832" s="6" t="s">
        <v>704</v>
      </c>
      <c r="C832" s="37" t="s">
        <v>14</v>
      </c>
      <c r="D832" s="37" t="s">
        <v>15</v>
      </c>
      <c r="E832" s="37" t="s">
        <v>55</v>
      </c>
      <c r="F832" s="38">
        <v>46216</v>
      </c>
      <c r="G832" s="59" t="s">
        <v>2164</v>
      </c>
      <c r="H832" s="54">
        <v>109.83</v>
      </c>
      <c r="I832" s="54">
        <v>44.71</v>
      </c>
      <c r="J832" s="39">
        <v>46221</v>
      </c>
      <c r="K832" s="36" t="s">
        <v>2188</v>
      </c>
      <c r="L832" s="37" t="s">
        <v>784</v>
      </c>
    </row>
    <row r="833" spans="1:12">
      <c r="A833" s="43" t="s">
        <v>2189</v>
      </c>
      <c r="B833" s="6" t="s">
        <v>2190</v>
      </c>
      <c r="C833" s="37" t="s">
        <v>14</v>
      </c>
      <c r="D833" s="37" t="s">
        <v>15</v>
      </c>
      <c r="E833" s="37" t="s">
        <v>55</v>
      </c>
      <c r="F833" s="38">
        <v>46212</v>
      </c>
      <c r="G833" s="59" t="s">
        <v>2167</v>
      </c>
      <c r="H833" s="54">
        <v>109.99</v>
      </c>
      <c r="I833" s="54">
        <v>50.92</v>
      </c>
      <c r="J833" s="39">
        <v>46217</v>
      </c>
      <c r="K833" s="36" t="s">
        <v>2191</v>
      </c>
      <c r="L833" s="37" t="s">
        <v>17</v>
      </c>
    </row>
    <row r="834" spans="1:12">
      <c r="A834" s="43" t="s">
        <v>793</v>
      </c>
      <c r="B834" s="6" t="s">
        <v>794</v>
      </c>
      <c r="C834" s="37" t="s">
        <v>14</v>
      </c>
      <c r="D834" s="37" t="s">
        <v>15</v>
      </c>
      <c r="E834" s="37" t="s">
        <v>23</v>
      </c>
      <c r="F834" s="38">
        <v>46213</v>
      </c>
      <c r="G834" s="59" t="s">
        <v>2167</v>
      </c>
      <c r="H834" s="54">
        <v>109.99</v>
      </c>
      <c r="I834" s="54">
        <v>44.81</v>
      </c>
      <c r="J834" s="39">
        <v>46218</v>
      </c>
      <c r="K834" s="36" t="s">
        <v>2192</v>
      </c>
      <c r="L834" s="37" t="s">
        <v>17</v>
      </c>
    </row>
    <row r="835" spans="1:12">
      <c r="A835" s="43" t="s">
        <v>2193</v>
      </c>
      <c r="B835" s="6" t="s">
        <v>2194</v>
      </c>
      <c r="C835" s="37" t="s">
        <v>14</v>
      </c>
      <c r="D835" s="37" t="s">
        <v>15</v>
      </c>
      <c r="E835" s="37" t="s">
        <v>2195</v>
      </c>
      <c r="F835" s="38">
        <v>46212</v>
      </c>
      <c r="G835" s="59" t="s">
        <v>2167</v>
      </c>
      <c r="H835" s="54">
        <v>109.99</v>
      </c>
      <c r="I835" s="54">
        <v>22.7</v>
      </c>
      <c r="J835" s="39">
        <v>46216</v>
      </c>
      <c r="K835" s="36" t="s">
        <v>2196</v>
      </c>
      <c r="L835" s="37" t="s">
        <v>17</v>
      </c>
    </row>
    <row r="836" spans="1:12">
      <c r="A836" s="43" t="s">
        <v>2197</v>
      </c>
      <c r="B836" s="6" t="s">
        <v>2198</v>
      </c>
      <c r="C836" s="37" t="s">
        <v>14</v>
      </c>
      <c r="D836" s="37" t="s">
        <v>15</v>
      </c>
      <c r="E836" s="37" t="s">
        <v>55</v>
      </c>
      <c r="F836" s="38">
        <v>46212</v>
      </c>
      <c r="G836" s="59" t="s">
        <v>2167</v>
      </c>
      <c r="H836" s="54">
        <v>109.99</v>
      </c>
      <c r="I836" s="54">
        <v>56.6</v>
      </c>
      <c r="J836" s="39">
        <v>46216</v>
      </c>
      <c r="K836" s="36" t="s">
        <v>2199</v>
      </c>
      <c r="L836" s="37" t="s">
        <v>17</v>
      </c>
    </row>
    <row r="837" spans="1:12">
      <c r="A837" s="43" t="s">
        <v>2200</v>
      </c>
      <c r="B837" s="6" t="s">
        <v>2201</v>
      </c>
      <c r="C837" s="37" t="s">
        <v>14</v>
      </c>
      <c r="D837" s="37" t="s">
        <v>15</v>
      </c>
      <c r="E837" s="37" t="s">
        <v>58</v>
      </c>
      <c r="F837" s="38">
        <v>46213</v>
      </c>
      <c r="G837" s="59" t="s">
        <v>2167</v>
      </c>
      <c r="H837" s="54">
        <v>109.99</v>
      </c>
      <c r="I837" s="54">
        <v>44.65</v>
      </c>
      <c r="J837" s="39">
        <v>46216</v>
      </c>
      <c r="K837" s="36" t="s">
        <v>2202</v>
      </c>
      <c r="L837" s="37" t="s">
        <v>17</v>
      </c>
    </row>
    <row r="838" spans="1:12">
      <c r="A838" s="43" t="s">
        <v>2203</v>
      </c>
      <c r="B838" s="6" t="s">
        <v>2204</v>
      </c>
      <c r="C838" s="37" t="s">
        <v>14</v>
      </c>
      <c r="D838" s="37" t="s">
        <v>15</v>
      </c>
      <c r="E838" s="37" t="s">
        <v>55</v>
      </c>
      <c r="F838" s="38">
        <v>46216</v>
      </c>
      <c r="G838" s="59" t="s">
        <v>2167</v>
      </c>
      <c r="H838" s="54">
        <v>101.38</v>
      </c>
      <c r="I838" s="54">
        <v>41.37</v>
      </c>
      <c r="J838" s="39">
        <v>46221</v>
      </c>
      <c r="K838" s="36" t="s">
        <v>2205</v>
      </c>
      <c r="L838" s="37" t="s">
        <v>784</v>
      </c>
    </row>
    <row r="839" spans="1:12">
      <c r="A839" s="43" t="s">
        <v>781</v>
      </c>
      <c r="B839" s="6" t="s">
        <v>782</v>
      </c>
      <c r="C839" s="37" t="s">
        <v>14</v>
      </c>
      <c r="D839" s="37" t="s">
        <v>15</v>
      </c>
      <c r="E839" s="37" t="s">
        <v>55</v>
      </c>
      <c r="F839" s="38">
        <v>46212</v>
      </c>
      <c r="G839" s="59" t="s">
        <v>2167</v>
      </c>
      <c r="H839" s="54">
        <v>99.99</v>
      </c>
      <c r="I839" s="54">
        <v>52.62</v>
      </c>
      <c r="J839" s="39">
        <v>46216</v>
      </c>
      <c r="K839" s="36" t="s">
        <v>2206</v>
      </c>
      <c r="L839" s="37" t="s">
        <v>17</v>
      </c>
    </row>
    <row r="840" spans="1:12">
      <c r="A840" s="43" t="s">
        <v>2207</v>
      </c>
      <c r="B840" s="6" t="s">
        <v>2208</v>
      </c>
      <c r="C840" s="37" t="s">
        <v>14</v>
      </c>
      <c r="D840" s="37" t="s">
        <v>15</v>
      </c>
      <c r="E840" s="37" t="s">
        <v>23</v>
      </c>
      <c r="F840" s="38">
        <v>46216</v>
      </c>
      <c r="G840" s="59" t="s">
        <v>2167</v>
      </c>
      <c r="H840" s="54">
        <v>109.99</v>
      </c>
      <c r="I840" s="54">
        <v>45.11</v>
      </c>
      <c r="J840" s="39">
        <v>46220</v>
      </c>
      <c r="K840" s="36" t="s">
        <v>2209</v>
      </c>
      <c r="L840" s="37" t="s">
        <v>784</v>
      </c>
    </row>
    <row r="841" spans="1:12">
      <c r="A841" s="43" t="s">
        <v>2210</v>
      </c>
      <c r="B841" s="6" t="s">
        <v>2211</v>
      </c>
      <c r="C841" s="37" t="s">
        <v>14</v>
      </c>
      <c r="D841" s="37" t="s">
        <v>15</v>
      </c>
      <c r="E841" s="37" t="s">
        <v>23</v>
      </c>
      <c r="F841" s="38">
        <v>46213</v>
      </c>
      <c r="G841" s="60" t="s">
        <v>2167</v>
      </c>
      <c r="H841" s="54">
        <v>109.99</v>
      </c>
      <c r="I841" s="54">
        <v>45.28</v>
      </c>
      <c r="J841" s="39">
        <v>46217</v>
      </c>
      <c r="K841" s="36" t="s">
        <v>2212</v>
      </c>
      <c r="L841" s="37" t="s">
        <v>17</v>
      </c>
    </row>
    <row r="842" spans="1:12">
      <c r="A842" s="43" t="s">
        <v>2213</v>
      </c>
      <c r="B842" s="6" t="s">
        <v>2214</v>
      </c>
      <c r="C842" s="37" t="s">
        <v>14</v>
      </c>
      <c r="D842" s="37" t="s">
        <v>15</v>
      </c>
      <c r="E842" s="37" t="s">
        <v>23</v>
      </c>
      <c r="F842" s="38">
        <v>46212</v>
      </c>
      <c r="G842" s="60" t="s">
        <v>2167</v>
      </c>
      <c r="H842" s="54">
        <v>129.99</v>
      </c>
      <c r="I842" s="54">
        <v>30</v>
      </c>
      <c r="J842" s="39">
        <v>46216</v>
      </c>
      <c r="K842" s="36" t="s">
        <v>2215</v>
      </c>
      <c r="L842" s="37" t="s">
        <v>17</v>
      </c>
    </row>
    <row r="843" spans="1:12">
      <c r="A843" s="43" t="s">
        <v>687</v>
      </c>
      <c r="B843" s="6" t="s">
        <v>688</v>
      </c>
      <c r="C843" s="37" t="s">
        <v>14</v>
      </c>
      <c r="D843" s="37" t="s">
        <v>15</v>
      </c>
      <c r="E843" s="37" t="s">
        <v>23</v>
      </c>
      <c r="F843" s="38">
        <v>46212</v>
      </c>
      <c r="G843" s="60" t="s">
        <v>2167</v>
      </c>
      <c r="H843" s="54">
        <v>161.31</v>
      </c>
      <c r="I843" s="54">
        <v>48.93</v>
      </c>
      <c r="J843" s="39">
        <v>46215</v>
      </c>
      <c r="K843" s="36" t="s">
        <v>2216</v>
      </c>
      <c r="L843" s="37" t="s">
        <v>17</v>
      </c>
    </row>
    <row r="844" spans="1:12">
      <c r="A844" s="43" t="s">
        <v>2217</v>
      </c>
      <c r="B844" s="6" t="s">
        <v>2218</v>
      </c>
      <c r="C844" s="37" t="s">
        <v>14</v>
      </c>
      <c r="D844" s="37" t="s">
        <v>783</v>
      </c>
      <c r="F844" s="38">
        <v>46218</v>
      </c>
      <c r="G844" s="59" t="s">
        <v>2167</v>
      </c>
      <c r="H844" s="54">
        <v>131.36000000000001</v>
      </c>
      <c r="I844" s="54"/>
      <c r="L844" s="37" t="s">
        <v>784</v>
      </c>
    </row>
    <row r="845" spans="1:12">
      <c r="A845" s="43" t="s">
        <v>2219</v>
      </c>
      <c r="B845" s="6" t="s">
        <v>2220</v>
      </c>
      <c r="C845" s="37" t="s">
        <v>14</v>
      </c>
      <c r="D845" s="37" t="s">
        <v>15</v>
      </c>
      <c r="E845" s="37" t="s">
        <v>16</v>
      </c>
      <c r="F845" s="38">
        <v>46212</v>
      </c>
      <c r="G845" s="59" t="s">
        <v>2167</v>
      </c>
      <c r="H845" s="54">
        <v>36.71</v>
      </c>
      <c r="I845" s="54"/>
      <c r="J845" s="61" t="s">
        <v>2221</v>
      </c>
      <c r="L845" s="37" t="s">
        <v>17</v>
      </c>
    </row>
    <row r="846" spans="1:12">
      <c r="A846" s="43" t="s">
        <v>2222</v>
      </c>
      <c r="B846" s="6" t="s">
        <v>2223</v>
      </c>
      <c r="C846" s="37" t="s">
        <v>14</v>
      </c>
      <c r="D846" s="37" t="s">
        <v>15</v>
      </c>
      <c r="E846" s="37" t="s">
        <v>58</v>
      </c>
      <c r="F846" s="38">
        <v>46212</v>
      </c>
      <c r="G846" s="59" t="s">
        <v>2167</v>
      </c>
      <c r="H846" s="54">
        <v>133.54</v>
      </c>
      <c r="I846" s="54">
        <v>54.18</v>
      </c>
      <c r="J846" s="39">
        <v>46216</v>
      </c>
      <c r="K846" s="36" t="s">
        <v>2224</v>
      </c>
      <c r="L846" s="37" t="s">
        <v>17</v>
      </c>
    </row>
    <row r="847" spans="1:12">
      <c r="A847" s="43" t="s">
        <v>2225</v>
      </c>
      <c r="B847" s="6" t="s">
        <v>2226</v>
      </c>
      <c r="C847" s="37" t="s">
        <v>14</v>
      </c>
      <c r="D847" s="37" t="s">
        <v>15</v>
      </c>
      <c r="E847" s="37" t="s">
        <v>55</v>
      </c>
      <c r="F847" s="38">
        <v>46212</v>
      </c>
      <c r="G847" s="59" t="s">
        <v>2167</v>
      </c>
      <c r="H847" s="54">
        <v>129.99</v>
      </c>
      <c r="I847" s="54">
        <v>59.5</v>
      </c>
      <c r="J847" s="39">
        <v>46217</v>
      </c>
      <c r="K847" s="36" t="s">
        <v>2227</v>
      </c>
      <c r="L847" s="37" t="s">
        <v>17</v>
      </c>
    </row>
    <row r="848" spans="1:12">
      <c r="A848" s="43" t="s">
        <v>2228</v>
      </c>
      <c r="B848" s="6" t="s">
        <v>2229</v>
      </c>
      <c r="C848" s="37" t="s">
        <v>14</v>
      </c>
      <c r="D848" s="37" t="s">
        <v>15</v>
      </c>
      <c r="E848" s="37" t="s">
        <v>55</v>
      </c>
      <c r="F848" s="38">
        <v>46212</v>
      </c>
      <c r="G848" s="60" t="s">
        <v>2167</v>
      </c>
      <c r="H848" s="54">
        <v>111.46</v>
      </c>
      <c r="I848" s="54">
        <v>45.5</v>
      </c>
      <c r="J848" s="39" t="s">
        <v>2230</v>
      </c>
      <c r="K848" s="36" t="s">
        <v>2231</v>
      </c>
      <c r="L848" s="37" t="s">
        <v>17</v>
      </c>
    </row>
    <row r="849" spans="1:12">
      <c r="A849" s="43" t="s">
        <v>2232</v>
      </c>
      <c r="B849" s="6" t="s">
        <v>2233</v>
      </c>
      <c r="C849" s="37" t="s">
        <v>14</v>
      </c>
      <c r="D849" s="37" t="s">
        <v>783</v>
      </c>
      <c r="F849" s="38">
        <v>46218</v>
      </c>
      <c r="G849" s="59" t="s">
        <v>2167</v>
      </c>
      <c r="H849" s="54">
        <v>109.99</v>
      </c>
      <c r="I849" s="54"/>
      <c r="L849" s="37" t="s">
        <v>784</v>
      </c>
    </row>
    <row r="850" spans="1:12">
      <c r="A850" s="43" t="s">
        <v>2234</v>
      </c>
      <c r="B850" s="6" t="s">
        <v>2235</v>
      </c>
      <c r="C850" s="37" t="s">
        <v>14</v>
      </c>
      <c r="D850" s="37" t="s">
        <v>15</v>
      </c>
      <c r="E850" s="37" t="s">
        <v>55</v>
      </c>
      <c r="F850" s="38">
        <v>46212</v>
      </c>
      <c r="G850" s="60" t="s">
        <v>2167</v>
      </c>
      <c r="H850" s="54">
        <v>102.69</v>
      </c>
      <c r="I850" s="54">
        <v>41.11</v>
      </c>
      <c r="J850" s="39">
        <v>46216</v>
      </c>
      <c r="K850" s="36" t="s">
        <v>2236</v>
      </c>
      <c r="L850" s="37" t="s">
        <v>17</v>
      </c>
    </row>
    <row r="851" spans="1:12">
      <c r="A851" s="43" t="s">
        <v>2237</v>
      </c>
      <c r="B851" s="6" t="s">
        <v>2238</v>
      </c>
      <c r="C851" s="37" t="s">
        <v>14</v>
      </c>
      <c r="D851" s="37" t="s">
        <v>15</v>
      </c>
      <c r="E851" s="37" t="s">
        <v>55</v>
      </c>
      <c r="F851" s="38">
        <v>46212</v>
      </c>
      <c r="G851" s="59" t="s">
        <v>2167</v>
      </c>
      <c r="H851" s="54">
        <v>109.99</v>
      </c>
      <c r="I851" s="54">
        <v>30</v>
      </c>
      <c r="J851" s="39">
        <v>46216</v>
      </c>
      <c r="K851" s="36" t="s">
        <v>2239</v>
      </c>
      <c r="L851" s="37" t="s">
        <v>17</v>
      </c>
    </row>
    <row r="852" spans="1:12">
      <c r="A852" s="43" t="s">
        <v>2240</v>
      </c>
      <c r="B852" s="6" t="s">
        <v>2241</v>
      </c>
      <c r="C852" s="37" t="s">
        <v>14</v>
      </c>
      <c r="D852" s="37" t="s">
        <v>15</v>
      </c>
      <c r="E852" s="37" t="s">
        <v>55</v>
      </c>
      <c r="F852" s="38">
        <v>46212</v>
      </c>
      <c r="G852" s="59" t="s">
        <v>2167</v>
      </c>
      <c r="H852" s="54">
        <v>112.2</v>
      </c>
      <c r="I852" s="54">
        <v>30</v>
      </c>
      <c r="J852" s="39">
        <v>46216</v>
      </c>
      <c r="K852" s="36" t="s">
        <v>2242</v>
      </c>
      <c r="L852" s="37" t="s">
        <v>17</v>
      </c>
    </row>
    <row r="853" spans="1:12">
      <c r="A853" s="43" t="s">
        <v>2243</v>
      </c>
      <c r="B853" s="6" t="s">
        <v>2244</v>
      </c>
      <c r="C853" s="37" t="s">
        <v>14</v>
      </c>
      <c r="D853" s="37" t="s">
        <v>15</v>
      </c>
      <c r="E853" s="37" t="s">
        <v>169</v>
      </c>
      <c r="F853" s="38">
        <v>46212</v>
      </c>
      <c r="G853" s="59" t="s">
        <v>2167</v>
      </c>
      <c r="H853" s="54">
        <v>129.99</v>
      </c>
      <c r="I853" s="54">
        <v>52.77</v>
      </c>
      <c r="J853" s="39">
        <v>46217</v>
      </c>
      <c r="K853" s="36" t="s">
        <v>2245</v>
      </c>
      <c r="L853" s="37" t="s">
        <v>17</v>
      </c>
    </row>
    <row r="854" spans="1:12">
      <c r="A854" s="43" t="s">
        <v>2246</v>
      </c>
      <c r="B854" s="6" t="s">
        <v>2247</v>
      </c>
      <c r="C854" s="37" t="s">
        <v>14</v>
      </c>
      <c r="D854" s="37" t="s">
        <v>15</v>
      </c>
      <c r="E854" s="37" t="s">
        <v>55</v>
      </c>
      <c r="F854" s="38">
        <v>46212</v>
      </c>
      <c r="G854" s="60" t="s">
        <v>2167</v>
      </c>
      <c r="H854" s="54">
        <v>52.04</v>
      </c>
      <c r="I854" s="54">
        <v>34.700000000000003</v>
      </c>
      <c r="J854" s="39">
        <v>46216</v>
      </c>
      <c r="K854" s="36" t="s">
        <v>2248</v>
      </c>
      <c r="L854" s="37" t="s">
        <v>17</v>
      </c>
    </row>
    <row r="855" spans="1:12">
      <c r="A855" s="43" t="s">
        <v>682</v>
      </c>
      <c r="B855" s="6" t="s">
        <v>683</v>
      </c>
      <c r="C855" s="37" t="s">
        <v>14</v>
      </c>
      <c r="D855" s="37" t="s">
        <v>15</v>
      </c>
      <c r="E855" s="37" t="s">
        <v>169</v>
      </c>
      <c r="F855" s="38">
        <v>46212</v>
      </c>
      <c r="G855" s="59" t="s">
        <v>2167</v>
      </c>
      <c r="H855" s="54">
        <v>109.99</v>
      </c>
      <c r="I855" s="54">
        <v>44.63</v>
      </c>
      <c r="J855" s="39">
        <v>46217</v>
      </c>
      <c r="K855" s="36" t="s">
        <v>2249</v>
      </c>
      <c r="L855" s="37" t="s">
        <v>17</v>
      </c>
    </row>
    <row r="856" spans="1:12">
      <c r="A856" s="43" t="s">
        <v>2250</v>
      </c>
      <c r="B856" s="6" t="s">
        <v>2251</v>
      </c>
      <c r="C856" s="37" t="s">
        <v>14</v>
      </c>
      <c r="D856" s="37" t="s">
        <v>15</v>
      </c>
      <c r="E856" s="37" t="s">
        <v>58</v>
      </c>
      <c r="F856" s="38">
        <v>46212</v>
      </c>
      <c r="G856" s="59" t="s">
        <v>2167</v>
      </c>
      <c r="H856" s="54">
        <v>89.99</v>
      </c>
      <c r="I856" s="54">
        <v>47.27</v>
      </c>
      <c r="J856" s="39">
        <v>46216</v>
      </c>
      <c r="K856" s="36" t="s">
        <v>2252</v>
      </c>
      <c r="L856" s="37" t="s">
        <v>17</v>
      </c>
    </row>
    <row r="857" spans="1:12">
      <c r="A857" s="43" t="s">
        <v>2253</v>
      </c>
      <c r="B857" s="6" t="s">
        <v>2254</v>
      </c>
      <c r="C857" s="37" t="s">
        <v>14</v>
      </c>
      <c r="D857" s="37" t="s">
        <v>15</v>
      </c>
      <c r="E857" s="37" t="s">
        <v>55</v>
      </c>
      <c r="F857" s="38">
        <v>46213</v>
      </c>
      <c r="G857" s="59" t="s">
        <v>2164</v>
      </c>
      <c r="H857" s="54">
        <v>80.7</v>
      </c>
      <c r="I857" s="54">
        <v>28.96</v>
      </c>
      <c r="J857" s="39">
        <v>46218</v>
      </c>
      <c r="K857" s="36" t="s">
        <v>2255</v>
      </c>
      <c r="L857" s="37" t="s">
        <v>17</v>
      </c>
    </row>
    <row r="858" spans="1:12">
      <c r="A858" s="43" t="s">
        <v>2256</v>
      </c>
      <c r="B858" s="6" t="s">
        <v>2257</v>
      </c>
      <c r="C858" s="37" t="s">
        <v>14</v>
      </c>
      <c r="D858" s="37" t="s">
        <v>783</v>
      </c>
      <c r="F858" s="38">
        <v>46218</v>
      </c>
      <c r="G858" s="59" t="s">
        <v>2167</v>
      </c>
      <c r="H858" s="54">
        <v>112.94</v>
      </c>
      <c r="I858" s="54"/>
      <c r="L858" s="37" t="s">
        <v>784</v>
      </c>
    </row>
    <row r="859" spans="1:12">
      <c r="A859" s="43" t="s">
        <v>705</v>
      </c>
      <c r="B859" s="6" t="s">
        <v>706</v>
      </c>
      <c r="C859" s="37" t="s">
        <v>14</v>
      </c>
      <c r="D859" s="37" t="s">
        <v>15</v>
      </c>
      <c r="E859" s="37" t="s">
        <v>58</v>
      </c>
      <c r="F859" s="38">
        <v>46212</v>
      </c>
      <c r="G859" s="59" t="s">
        <v>2167</v>
      </c>
      <c r="H859" s="54">
        <v>142.57</v>
      </c>
      <c r="I859" s="54">
        <v>76.92</v>
      </c>
      <c r="J859" s="39">
        <v>46216</v>
      </c>
      <c r="K859" s="36" t="s">
        <v>2258</v>
      </c>
      <c r="L859" s="37" t="s">
        <v>17</v>
      </c>
    </row>
    <row r="860" spans="1:12">
      <c r="A860" s="43" t="s">
        <v>2259</v>
      </c>
      <c r="B860" s="6" t="s">
        <v>2260</v>
      </c>
      <c r="C860" s="37" t="s">
        <v>14</v>
      </c>
      <c r="D860" s="37" t="s">
        <v>15</v>
      </c>
      <c r="E860" s="37" t="s">
        <v>23</v>
      </c>
      <c r="F860" s="38">
        <v>46212</v>
      </c>
      <c r="G860" s="59" t="s">
        <v>2167</v>
      </c>
      <c r="H860" s="54">
        <v>129.99</v>
      </c>
      <c r="I860" s="54">
        <v>30</v>
      </c>
      <c r="J860" s="39">
        <v>46216</v>
      </c>
      <c r="K860" s="36" t="s">
        <v>2261</v>
      </c>
      <c r="L860" s="37" t="s">
        <v>17</v>
      </c>
    </row>
    <row r="861" spans="1:12">
      <c r="A861" s="43" t="s">
        <v>2262</v>
      </c>
      <c r="B861" s="6" t="s">
        <v>2263</v>
      </c>
      <c r="C861" s="37" t="s">
        <v>14</v>
      </c>
      <c r="D861" s="37" t="s">
        <v>15</v>
      </c>
      <c r="E861" s="37" t="s">
        <v>58</v>
      </c>
      <c r="F861" s="38">
        <v>46218</v>
      </c>
      <c r="G861" s="60" t="s">
        <v>2167</v>
      </c>
      <c r="H861" s="54">
        <v>109.99</v>
      </c>
      <c r="I861" s="54">
        <v>86.16</v>
      </c>
      <c r="J861" s="39">
        <v>46222</v>
      </c>
      <c r="K861" s="36" t="s">
        <v>2264</v>
      </c>
      <c r="L861" s="37" t="s">
        <v>784</v>
      </c>
    </row>
    <row r="862" spans="1:12">
      <c r="A862" s="43" t="s">
        <v>2265</v>
      </c>
      <c r="B862" s="6" t="s">
        <v>2266</v>
      </c>
      <c r="C862" s="37" t="s">
        <v>14</v>
      </c>
      <c r="D862" s="37" t="s">
        <v>15</v>
      </c>
      <c r="E862" s="37" t="s">
        <v>16</v>
      </c>
      <c r="F862" s="38">
        <v>46212</v>
      </c>
      <c r="G862" s="60" t="s">
        <v>2167</v>
      </c>
      <c r="H862" s="54">
        <v>17.36</v>
      </c>
      <c r="I862" s="54"/>
      <c r="J862" s="61" t="s">
        <v>2221</v>
      </c>
      <c r="L862" s="37" t="s">
        <v>17</v>
      </c>
    </row>
    <row r="863" spans="1:12">
      <c r="A863" s="43" t="s">
        <v>2267</v>
      </c>
      <c r="B863" s="6" t="s">
        <v>2268</v>
      </c>
      <c r="C863" s="37" t="s">
        <v>14</v>
      </c>
      <c r="D863" s="37" t="s">
        <v>15</v>
      </c>
      <c r="E863" s="37" t="s">
        <v>23</v>
      </c>
      <c r="F863" s="38">
        <v>46218</v>
      </c>
      <c r="G863" s="60" t="s">
        <v>2167</v>
      </c>
      <c r="H863" s="54">
        <v>102.7</v>
      </c>
      <c r="I863" s="54">
        <v>28.58</v>
      </c>
      <c r="J863" s="39">
        <v>46223</v>
      </c>
      <c r="K863" s="36" t="s">
        <v>2269</v>
      </c>
      <c r="L863" s="37" t="s">
        <v>784</v>
      </c>
    </row>
    <row r="864" spans="1:12">
      <c r="A864" s="43" t="s">
        <v>2270</v>
      </c>
      <c r="B864" s="6" t="s">
        <v>2271</v>
      </c>
      <c r="C864" s="37" t="s">
        <v>14</v>
      </c>
      <c r="D864" s="37" t="s">
        <v>15</v>
      </c>
      <c r="E864" s="37" t="s">
        <v>16</v>
      </c>
      <c r="F864" s="38">
        <v>46212</v>
      </c>
      <c r="G864" s="60" t="s">
        <v>2167</v>
      </c>
      <c r="H864" s="54">
        <v>11.05</v>
      </c>
      <c r="I864" s="54"/>
      <c r="J864" s="61" t="s">
        <v>2221</v>
      </c>
      <c r="L864" s="37" t="s">
        <v>17</v>
      </c>
    </row>
    <row r="865" spans="1:12">
      <c r="A865" s="43" t="s">
        <v>2272</v>
      </c>
      <c r="B865" s="6" t="s">
        <v>2273</v>
      </c>
      <c r="C865" s="37" t="s">
        <v>14</v>
      </c>
      <c r="D865" s="37" t="s">
        <v>15</v>
      </c>
      <c r="E865" s="37" t="s">
        <v>16</v>
      </c>
      <c r="F865" s="38">
        <v>46212</v>
      </c>
      <c r="G865" s="60" t="s">
        <v>2167</v>
      </c>
      <c r="H865" s="54">
        <v>22.04</v>
      </c>
      <c r="I865" s="54"/>
      <c r="J865" s="61" t="s">
        <v>2221</v>
      </c>
      <c r="L865" s="37" t="s">
        <v>17</v>
      </c>
    </row>
    <row r="866" spans="1:12">
      <c r="A866" s="43" t="s">
        <v>2274</v>
      </c>
      <c r="B866" s="6" t="s">
        <v>2275</v>
      </c>
      <c r="C866" s="37" t="s">
        <v>14</v>
      </c>
      <c r="D866" s="37" t="s">
        <v>15</v>
      </c>
      <c r="E866" s="37" t="s">
        <v>55</v>
      </c>
      <c r="F866" s="38">
        <v>46213</v>
      </c>
      <c r="G866" s="59" t="s">
        <v>2167</v>
      </c>
      <c r="H866" s="54">
        <v>40.36</v>
      </c>
      <c r="I866" s="54">
        <v>30.3</v>
      </c>
      <c r="J866" s="61" t="s">
        <v>2276</v>
      </c>
      <c r="K866" s="36" t="s">
        <v>2277</v>
      </c>
      <c r="L866" s="37" t="s">
        <v>17</v>
      </c>
    </row>
    <row r="867" spans="1:12">
      <c r="A867" s="43" t="s">
        <v>2270</v>
      </c>
      <c r="B867" s="6" t="s">
        <v>2278</v>
      </c>
      <c r="C867" s="37" t="s">
        <v>14</v>
      </c>
      <c r="D867" s="37" t="s">
        <v>15</v>
      </c>
      <c r="E867" s="37" t="s">
        <v>16</v>
      </c>
      <c r="F867" s="38">
        <v>46212</v>
      </c>
      <c r="G867" s="59" t="s">
        <v>2167</v>
      </c>
      <c r="H867" s="54">
        <v>7.39</v>
      </c>
      <c r="I867" s="54"/>
      <c r="J867" s="61" t="s">
        <v>2221</v>
      </c>
      <c r="L867" s="37" t="s">
        <v>17</v>
      </c>
    </row>
    <row r="868" spans="1:12">
      <c r="A868" s="43" t="s">
        <v>2279</v>
      </c>
      <c r="B868" s="6" t="s">
        <v>2280</v>
      </c>
      <c r="C868" s="37" t="s">
        <v>14</v>
      </c>
      <c r="D868" s="37" t="s">
        <v>15</v>
      </c>
      <c r="E868" s="37" t="s">
        <v>55</v>
      </c>
      <c r="F868" s="38">
        <v>46212</v>
      </c>
      <c r="G868" s="59" t="s">
        <v>2167</v>
      </c>
      <c r="H868" s="54">
        <v>107.33</v>
      </c>
      <c r="I868" s="54">
        <v>44.3</v>
      </c>
      <c r="J868" s="39">
        <v>46216</v>
      </c>
      <c r="K868" s="36" t="s">
        <v>2281</v>
      </c>
      <c r="L868" s="37" t="s">
        <v>17</v>
      </c>
    </row>
    <row r="869" spans="1:12">
      <c r="A869" s="43" t="s">
        <v>2282</v>
      </c>
      <c r="B869" s="6" t="s">
        <v>2283</v>
      </c>
      <c r="C869" s="37" t="s">
        <v>14</v>
      </c>
      <c r="D869" s="37" t="s">
        <v>15</v>
      </c>
      <c r="E869" s="37" t="s">
        <v>169</v>
      </c>
      <c r="F869" s="38">
        <v>46216</v>
      </c>
      <c r="G869" s="59" t="s">
        <v>2167</v>
      </c>
      <c r="H869" s="54">
        <v>129.99</v>
      </c>
      <c r="I869" s="54">
        <v>52.76</v>
      </c>
      <c r="J869" s="39">
        <v>46219</v>
      </c>
      <c r="K869" s="36" t="s">
        <v>2284</v>
      </c>
      <c r="L869" s="37" t="s">
        <v>784</v>
      </c>
    </row>
    <row r="870" spans="1:12">
      <c r="A870" s="43" t="s">
        <v>2285</v>
      </c>
      <c r="B870" s="6" t="s">
        <v>2286</v>
      </c>
      <c r="C870" s="37" t="s">
        <v>14</v>
      </c>
      <c r="D870" s="37" t="s">
        <v>15</v>
      </c>
      <c r="E870" s="37" t="s">
        <v>55</v>
      </c>
      <c r="F870" s="38">
        <v>46216</v>
      </c>
      <c r="G870" s="59" t="s">
        <v>2167</v>
      </c>
      <c r="H870" s="54">
        <v>108.66</v>
      </c>
      <c r="I870" s="54">
        <v>44.6</v>
      </c>
      <c r="J870" s="39">
        <v>46221</v>
      </c>
      <c r="K870" s="36" t="s">
        <v>2287</v>
      </c>
      <c r="L870" s="37" t="s">
        <v>784</v>
      </c>
    </row>
    <row r="871" spans="1:12">
      <c r="A871" s="43" t="s">
        <v>2288</v>
      </c>
      <c r="B871" s="6" t="s">
        <v>2289</v>
      </c>
      <c r="C871" s="37" t="s">
        <v>14</v>
      </c>
      <c r="D871" s="37" t="s">
        <v>15</v>
      </c>
      <c r="E871" s="37" t="s">
        <v>55</v>
      </c>
      <c r="F871" s="38">
        <v>46213</v>
      </c>
      <c r="G871" s="59" t="s">
        <v>2167</v>
      </c>
      <c r="H871" s="54">
        <v>109.99</v>
      </c>
      <c r="I871" s="54">
        <v>30</v>
      </c>
      <c r="J871" s="39">
        <v>46216</v>
      </c>
      <c r="K871" s="36" t="s">
        <v>2290</v>
      </c>
      <c r="L871" s="37" t="s">
        <v>17</v>
      </c>
    </row>
    <row r="872" spans="1:12">
      <c r="A872" s="43" t="s">
        <v>2291</v>
      </c>
      <c r="B872" s="6" t="s">
        <v>2292</v>
      </c>
      <c r="C872" s="37" t="s">
        <v>14</v>
      </c>
      <c r="D872" s="37" t="s">
        <v>15</v>
      </c>
      <c r="E872" s="37" t="s">
        <v>169</v>
      </c>
      <c r="F872" s="38">
        <v>46216</v>
      </c>
      <c r="G872" s="59" t="s">
        <v>2167</v>
      </c>
      <c r="H872" s="54">
        <v>63.36</v>
      </c>
      <c r="I872" s="54">
        <v>33.04</v>
      </c>
      <c r="J872" s="39">
        <v>46190</v>
      </c>
      <c r="K872" s="36" t="s">
        <v>2293</v>
      </c>
      <c r="L872" s="37" t="s">
        <v>784</v>
      </c>
    </row>
    <row r="873" spans="1:12">
      <c r="A873" s="43" t="s">
        <v>2294</v>
      </c>
      <c r="B873" s="6" t="s">
        <v>2295</v>
      </c>
      <c r="C873" s="37" t="s">
        <v>14</v>
      </c>
      <c r="D873" s="37" t="s">
        <v>15</v>
      </c>
      <c r="E873" s="37" t="s">
        <v>16</v>
      </c>
      <c r="F873" s="38">
        <v>46212</v>
      </c>
      <c r="G873" s="59" t="s">
        <v>2167</v>
      </c>
      <c r="H873" s="54">
        <v>33.049999999999997</v>
      </c>
      <c r="I873" s="54"/>
      <c r="J873" s="61" t="s">
        <v>2221</v>
      </c>
      <c r="L873" s="37" t="s">
        <v>17</v>
      </c>
    </row>
    <row r="874" spans="1:12">
      <c r="A874" s="43" t="s">
        <v>2296</v>
      </c>
      <c r="B874" s="6" t="s">
        <v>2297</v>
      </c>
      <c r="C874" s="37" t="s">
        <v>14</v>
      </c>
      <c r="D874" s="37" t="s">
        <v>783</v>
      </c>
      <c r="F874" s="38">
        <v>46218</v>
      </c>
      <c r="G874" s="59" t="s">
        <v>2164</v>
      </c>
      <c r="H874" s="54">
        <v>88.03</v>
      </c>
      <c r="I874" s="54"/>
      <c r="L874" s="37" t="s">
        <v>784</v>
      </c>
    </row>
    <row r="875" spans="1:12">
      <c r="A875" s="43" t="s">
        <v>2298</v>
      </c>
      <c r="B875" s="6" t="s">
        <v>2299</v>
      </c>
      <c r="C875" s="37" t="s">
        <v>14</v>
      </c>
      <c r="D875" s="37" t="s">
        <v>15</v>
      </c>
      <c r="E875" s="37" t="s">
        <v>55</v>
      </c>
      <c r="F875" s="38">
        <v>46216</v>
      </c>
      <c r="G875" s="59" t="s">
        <v>2167</v>
      </c>
      <c r="H875" s="54">
        <v>110.2</v>
      </c>
      <c r="I875" s="54">
        <v>60.75</v>
      </c>
      <c r="J875" s="39">
        <v>46220</v>
      </c>
      <c r="K875" s="36" t="s">
        <v>2300</v>
      </c>
      <c r="L875" s="37" t="s">
        <v>784</v>
      </c>
    </row>
    <row r="876" spans="1:12">
      <c r="A876" s="43" t="s">
        <v>2301</v>
      </c>
      <c r="B876" s="6" t="s">
        <v>2302</v>
      </c>
      <c r="C876" s="37" t="s">
        <v>14</v>
      </c>
      <c r="D876" s="37" t="s">
        <v>15</v>
      </c>
      <c r="E876" s="37" t="s">
        <v>55</v>
      </c>
      <c r="F876" s="38">
        <v>46213</v>
      </c>
      <c r="G876" s="59" t="s">
        <v>2167</v>
      </c>
      <c r="H876" s="54">
        <v>110.2</v>
      </c>
      <c r="I876" s="54">
        <v>50</v>
      </c>
      <c r="J876" s="39">
        <v>46216</v>
      </c>
      <c r="K876" s="36" t="s">
        <v>2303</v>
      </c>
      <c r="L876" s="37" t="s">
        <v>17</v>
      </c>
    </row>
    <row r="877" spans="1:12">
      <c r="A877" s="43" t="s">
        <v>832</v>
      </c>
      <c r="B877" s="6" t="s">
        <v>833</v>
      </c>
      <c r="C877" s="37" t="s">
        <v>14</v>
      </c>
      <c r="D877" s="37" t="s">
        <v>15</v>
      </c>
      <c r="E877" s="37" t="s">
        <v>55</v>
      </c>
      <c r="F877" s="38">
        <v>46213</v>
      </c>
      <c r="G877" s="59" t="s">
        <v>2167</v>
      </c>
      <c r="H877" s="54">
        <v>109.99</v>
      </c>
      <c r="I877" s="54">
        <v>58.09</v>
      </c>
      <c r="J877" s="39">
        <v>46216</v>
      </c>
      <c r="K877" s="36" t="s">
        <v>2304</v>
      </c>
      <c r="L877" s="37" t="s">
        <v>17</v>
      </c>
    </row>
    <row r="878" spans="1:12">
      <c r="A878" s="43" t="s">
        <v>2305</v>
      </c>
      <c r="B878" s="6" t="s">
        <v>2306</v>
      </c>
      <c r="C878" s="37" t="s">
        <v>14</v>
      </c>
      <c r="D878" s="37" t="s">
        <v>15</v>
      </c>
      <c r="E878" s="37" t="s">
        <v>23</v>
      </c>
      <c r="F878" s="38">
        <v>46216</v>
      </c>
      <c r="G878" s="59" t="s">
        <v>2167</v>
      </c>
      <c r="H878" s="54">
        <v>109.99</v>
      </c>
      <c r="I878" s="54">
        <v>33.479999999999997</v>
      </c>
      <c r="J878" s="39">
        <v>46221</v>
      </c>
      <c r="K878" s="36" t="s">
        <v>2307</v>
      </c>
      <c r="L878" s="37" t="s">
        <v>784</v>
      </c>
    </row>
    <row r="879" spans="1:12">
      <c r="A879" s="43" t="s">
        <v>2308</v>
      </c>
      <c r="B879" s="6" t="s">
        <v>2309</v>
      </c>
      <c r="C879" s="37" t="s">
        <v>14</v>
      </c>
      <c r="D879" s="37" t="s">
        <v>15</v>
      </c>
      <c r="E879" s="37" t="s">
        <v>16</v>
      </c>
      <c r="F879" s="38">
        <v>46212</v>
      </c>
      <c r="G879" s="59" t="s">
        <v>2167</v>
      </c>
      <c r="H879" s="54">
        <v>27.01</v>
      </c>
      <c r="I879" s="54"/>
      <c r="J879" s="61" t="s">
        <v>2221</v>
      </c>
      <c r="L879" s="37" t="s">
        <v>17</v>
      </c>
    </row>
    <row r="880" spans="1:12">
      <c r="A880" s="43" t="s">
        <v>2310</v>
      </c>
      <c r="B880" s="6" t="s">
        <v>2311</v>
      </c>
      <c r="C880" s="37" t="s">
        <v>14</v>
      </c>
      <c r="D880" s="37" t="s">
        <v>15</v>
      </c>
      <c r="E880" s="37" t="s">
        <v>62</v>
      </c>
      <c r="F880" s="38">
        <v>46217</v>
      </c>
      <c r="G880" s="59" t="s">
        <v>2167</v>
      </c>
      <c r="H880" s="54">
        <v>112.72</v>
      </c>
      <c r="I880" s="54">
        <v>15</v>
      </c>
      <c r="J880" s="39">
        <v>46220</v>
      </c>
      <c r="K880" s="36" t="s">
        <v>2312</v>
      </c>
      <c r="L880" s="37" t="s">
        <v>784</v>
      </c>
    </row>
    <row r="881" spans="1:12">
      <c r="A881" s="43" t="s">
        <v>2313</v>
      </c>
      <c r="B881" s="6" t="s">
        <v>2314</v>
      </c>
      <c r="C881" s="37" t="s">
        <v>14</v>
      </c>
      <c r="D881" s="37" t="s">
        <v>783</v>
      </c>
      <c r="F881" s="38">
        <v>46218</v>
      </c>
      <c r="G881" s="59" t="s">
        <v>2167</v>
      </c>
      <c r="H881" s="54">
        <v>109.99</v>
      </c>
      <c r="I881" s="54"/>
      <c r="L881" s="37" t="s">
        <v>784</v>
      </c>
    </row>
    <row r="882" spans="1:12">
      <c r="A882" s="43" t="s">
        <v>2315</v>
      </c>
      <c r="B882" s="6" t="s">
        <v>2316</v>
      </c>
      <c r="C882" s="37" t="s">
        <v>14</v>
      </c>
      <c r="D882" s="37" t="s">
        <v>15</v>
      </c>
      <c r="E882" s="37" t="s">
        <v>55</v>
      </c>
      <c r="F882" s="38">
        <v>46216</v>
      </c>
      <c r="G882" s="59" t="s">
        <v>2167</v>
      </c>
      <c r="H882" s="54">
        <v>112.52</v>
      </c>
      <c r="I882" s="54">
        <v>22.56</v>
      </c>
      <c r="J882" s="39">
        <v>46221</v>
      </c>
      <c r="K882" s="36" t="s">
        <v>2317</v>
      </c>
      <c r="L882" s="37" t="s">
        <v>784</v>
      </c>
    </row>
    <row r="883" spans="1:12">
      <c r="A883" s="43" t="s">
        <v>2318</v>
      </c>
      <c r="B883" s="6" t="s">
        <v>2319</v>
      </c>
      <c r="C883" s="37" t="s">
        <v>14</v>
      </c>
      <c r="D883" s="37" t="s">
        <v>15</v>
      </c>
      <c r="E883" s="37" t="s">
        <v>16</v>
      </c>
      <c r="F883" s="38">
        <v>46212</v>
      </c>
      <c r="G883" s="59" t="s">
        <v>2167</v>
      </c>
      <c r="H883" s="54">
        <v>18.38</v>
      </c>
      <c r="I883" s="54"/>
      <c r="J883" s="61" t="s">
        <v>2221</v>
      </c>
      <c r="L883" s="37" t="s">
        <v>17</v>
      </c>
    </row>
    <row r="884" spans="1:12">
      <c r="A884" s="43" t="s">
        <v>2320</v>
      </c>
      <c r="B884" s="6" t="s">
        <v>2321</v>
      </c>
      <c r="C884" s="37" t="s">
        <v>14</v>
      </c>
      <c r="D884" s="37" t="s">
        <v>15</v>
      </c>
      <c r="E884" s="37" t="s">
        <v>55</v>
      </c>
      <c r="F884" s="38">
        <v>46213</v>
      </c>
      <c r="G884" s="59" t="s">
        <v>2167</v>
      </c>
      <c r="H884" s="54">
        <v>112.13</v>
      </c>
      <c r="I884" s="54">
        <v>45.7</v>
      </c>
      <c r="J884" s="39">
        <v>46217</v>
      </c>
      <c r="K884" s="36" t="s">
        <v>2322</v>
      </c>
      <c r="L884" s="37" t="s">
        <v>17</v>
      </c>
    </row>
    <row r="885" spans="1:12">
      <c r="A885" s="43" t="s">
        <v>2323</v>
      </c>
      <c r="B885" s="6" t="s">
        <v>2324</v>
      </c>
      <c r="C885" s="37" t="s">
        <v>14</v>
      </c>
      <c r="D885" s="37" t="s">
        <v>15</v>
      </c>
      <c r="E885" s="37" t="s">
        <v>55</v>
      </c>
      <c r="F885" s="38">
        <v>46213</v>
      </c>
      <c r="G885" s="59" t="s">
        <v>2167</v>
      </c>
      <c r="H885" s="54">
        <v>109.99</v>
      </c>
      <c r="I885" s="54">
        <v>30</v>
      </c>
      <c r="J885" s="39">
        <v>46217</v>
      </c>
      <c r="K885" s="36" t="s">
        <v>2325</v>
      </c>
      <c r="L885" s="37" t="s">
        <v>17</v>
      </c>
    </row>
    <row r="886" spans="1:12">
      <c r="A886" s="43" t="s">
        <v>2326</v>
      </c>
      <c r="B886" s="6" t="s">
        <v>2327</v>
      </c>
      <c r="C886" s="37" t="s">
        <v>14</v>
      </c>
      <c r="D886" s="37" t="s">
        <v>15</v>
      </c>
      <c r="E886" s="37" t="s">
        <v>55</v>
      </c>
      <c r="F886" s="38">
        <v>46213</v>
      </c>
      <c r="G886" s="59" t="s">
        <v>2167</v>
      </c>
      <c r="H886" s="54">
        <v>121.05</v>
      </c>
      <c r="I886" s="54">
        <v>36.67</v>
      </c>
      <c r="J886" s="39">
        <v>46218</v>
      </c>
      <c r="K886" s="36" t="s">
        <v>2328</v>
      </c>
      <c r="L886" s="37" t="s">
        <v>17</v>
      </c>
    </row>
    <row r="887" spans="1:12">
      <c r="A887" s="43" t="s">
        <v>2329</v>
      </c>
      <c r="B887" s="6" t="s">
        <v>2330</v>
      </c>
      <c r="C887" s="37" t="s">
        <v>14</v>
      </c>
      <c r="D887" s="37" t="s">
        <v>783</v>
      </c>
      <c r="F887" s="38">
        <v>46218</v>
      </c>
      <c r="G887" s="59" t="s">
        <v>2167</v>
      </c>
      <c r="H887" s="54">
        <v>40.36</v>
      </c>
      <c r="I887" s="54"/>
      <c r="J887" s="61" t="s">
        <v>2221</v>
      </c>
      <c r="L887" s="37" t="s">
        <v>784</v>
      </c>
    </row>
    <row r="888" spans="1:12">
      <c r="A888" s="43" t="s">
        <v>2331</v>
      </c>
      <c r="B888" s="6" t="s">
        <v>2332</v>
      </c>
      <c r="C888" s="37" t="s">
        <v>14</v>
      </c>
      <c r="D888" s="37" t="s">
        <v>15</v>
      </c>
      <c r="E888" s="37" t="s">
        <v>16</v>
      </c>
      <c r="F888" s="38">
        <v>46212</v>
      </c>
      <c r="G888" s="59" t="s">
        <v>2167</v>
      </c>
      <c r="H888" s="54">
        <v>14.69</v>
      </c>
      <c r="I888" s="54"/>
      <c r="J888" s="61" t="s">
        <v>2221</v>
      </c>
      <c r="L888" s="37" t="s">
        <v>17</v>
      </c>
    </row>
    <row r="889" spans="1:12">
      <c r="A889" s="43" t="s">
        <v>2333</v>
      </c>
      <c r="B889" s="6" t="s">
        <v>2334</v>
      </c>
      <c r="C889" s="37" t="s">
        <v>14</v>
      </c>
      <c r="D889" s="37" t="s">
        <v>15</v>
      </c>
      <c r="E889" s="37" t="s">
        <v>16</v>
      </c>
      <c r="F889" s="38">
        <v>46212</v>
      </c>
      <c r="G889" s="59" t="s">
        <v>2167</v>
      </c>
      <c r="H889" s="54">
        <v>7.39</v>
      </c>
      <c r="I889" s="54"/>
      <c r="J889" s="61" t="s">
        <v>2221</v>
      </c>
      <c r="L889" s="37" t="s">
        <v>17</v>
      </c>
    </row>
    <row r="890" spans="1:12">
      <c r="A890" s="43" t="s">
        <v>2335</v>
      </c>
      <c r="B890" s="6" t="s">
        <v>2336</v>
      </c>
      <c r="C890" s="37" t="s">
        <v>14</v>
      </c>
      <c r="D890" s="37" t="s">
        <v>15</v>
      </c>
      <c r="E890" s="37" t="s">
        <v>16</v>
      </c>
      <c r="F890" s="38">
        <v>46212</v>
      </c>
      <c r="G890" s="59" t="s">
        <v>2167</v>
      </c>
      <c r="H890" s="54">
        <v>7.39</v>
      </c>
      <c r="I890" s="54"/>
      <c r="J890" s="61" t="s">
        <v>2221</v>
      </c>
      <c r="L890" s="37" t="s">
        <v>17</v>
      </c>
    </row>
    <row r="891" spans="1:12">
      <c r="A891" s="43" t="s">
        <v>2337</v>
      </c>
      <c r="B891" s="6" t="s">
        <v>2338</v>
      </c>
      <c r="C891" s="37" t="s">
        <v>14</v>
      </c>
      <c r="D891" s="37" t="s">
        <v>783</v>
      </c>
      <c r="F891" s="38">
        <v>46218</v>
      </c>
      <c r="G891" s="59" t="s">
        <v>2167</v>
      </c>
      <c r="H891" s="54">
        <v>109.99</v>
      </c>
      <c r="I891" s="54"/>
      <c r="L891" s="37" t="s">
        <v>784</v>
      </c>
    </row>
    <row r="892" spans="1:12">
      <c r="A892" s="43" t="s">
        <v>2339</v>
      </c>
      <c r="B892" s="6" t="s">
        <v>2340</v>
      </c>
      <c r="C892" s="37" t="s">
        <v>14</v>
      </c>
      <c r="D892" s="37" t="s">
        <v>783</v>
      </c>
      <c r="F892" s="38">
        <v>46218</v>
      </c>
      <c r="G892" s="59" t="s">
        <v>2167</v>
      </c>
      <c r="H892" s="54">
        <v>109.99</v>
      </c>
      <c r="I892" s="54"/>
      <c r="L892" s="37" t="s">
        <v>784</v>
      </c>
    </row>
    <row r="893" spans="1:12">
      <c r="A893" s="43" t="s">
        <v>2341</v>
      </c>
      <c r="B893" s="6" t="s">
        <v>2342</v>
      </c>
      <c r="C893" s="37" t="s">
        <v>14</v>
      </c>
      <c r="D893" s="37" t="s">
        <v>15</v>
      </c>
      <c r="E893" s="37" t="s">
        <v>16</v>
      </c>
      <c r="F893" s="38">
        <v>46212</v>
      </c>
      <c r="G893" s="59" t="s">
        <v>2167</v>
      </c>
      <c r="H893" s="54">
        <v>7.39</v>
      </c>
      <c r="I893" s="54"/>
      <c r="J893" s="61" t="s">
        <v>2221</v>
      </c>
      <c r="L893" s="37" t="s">
        <v>17</v>
      </c>
    </row>
    <row r="894" spans="1:12">
      <c r="A894" s="43" t="s">
        <v>2343</v>
      </c>
      <c r="B894" s="6" t="s">
        <v>2344</v>
      </c>
      <c r="C894" s="37" t="s">
        <v>14</v>
      </c>
      <c r="D894" s="37" t="s">
        <v>783</v>
      </c>
      <c r="F894" s="38">
        <v>46218</v>
      </c>
      <c r="G894" s="59" t="s">
        <v>2167</v>
      </c>
      <c r="H894" s="54">
        <v>58.7</v>
      </c>
      <c r="I894" s="54"/>
      <c r="L894" s="37" t="s">
        <v>784</v>
      </c>
    </row>
    <row r="895" spans="1:12">
      <c r="A895" s="43" t="s">
        <v>2345</v>
      </c>
      <c r="B895" s="6" t="s">
        <v>2346</v>
      </c>
      <c r="C895" s="37" t="s">
        <v>14</v>
      </c>
      <c r="D895" s="37" t="s">
        <v>783</v>
      </c>
      <c r="F895" s="38">
        <v>46218</v>
      </c>
      <c r="G895" s="59" t="s">
        <v>2167</v>
      </c>
      <c r="H895" s="54">
        <v>47.7</v>
      </c>
      <c r="I895" s="54"/>
      <c r="J895" s="61"/>
      <c r="L895" s="37" t="s">
        <v>784</v>
      </c>
    </row>
    <row r="896" spans="1:12">
      <c r="A896" s="43" t="s">
        <v>910</v>
      </c>
      <c r="B896" s="6" t="s">
        <v>911</v>
      </c>
      <c r="C896" s="37" t="s">
        <v>14</v>
      </c>
      <c r="D896" s="37" t="s">
        <v>783</v>
      </c>
      <c r="F896" s="38">
        <v>46218</v>
      </c>
      <c r="G896" s="59" t="s">
        <v>2164</v>
      </c>
      <c r="H896" s="54">
        <v>109.99</v>
      </c>
      <c r="I896" s="54"/>
      <c r="L896" s="37" t="s">
        <v>784</v>
      </c>
    </row>
    <row r="897" spans="1:12">
      <c r="A897" s="43" t="s">
        <v>2347</v>
      </c>
      <c r="B897" s="6" t="s">
        <v>2348</v>
      </c>
      <c r="C897" s="37" t="s">
        <v>14</v>
      </c>
      <c r="D897" s="37" t="s">
        <v>783</v>
      </c>
      <c r="F897" s="38">
        <v>46218</v>
      </c>
      <c r="G897" s="59" t="s">
        <v>2167</v>
      </c>
      <c r="H897" s="54">
        <v>62.38</v>
      </c>
      <c r="I897" s="54"/>
      <c r="L897" s="37" t="s">
        <v>784</v>
      </c>
    </row>
    <row r="898" spans="1:12">
      <c r="A898" s="43" t="s">
        <v>2349</v>
      </c>
      <c r="B898" s="6" t="s">
        <v>2350</v>
      </c>
      <c r="C898" s="37" t="s">
        <v>14</v>
      </c>
      <c r="D898" s="37" t="s">
        <v>15</v>
      </c>
      <c r="E898" s="37" t="s">
        <v>16</v>
      </c>
      <c r="F898" s="38">
        <v>46212</v>
      </c>
      <c r="G898" s="60" t="s">
        <v>2167</v>
      </c>
      <c r="H898" s="54">
        <v>33.049999999999997</v>
      </c>
      <c r="I898" s="54"/>
      <c r="J898" s="61" t="s">
        <v>2221</v>
      </c>
      <c r="L898" s="37" t="s">
        <v>17</v>
      </c>
    </row>
    <row r="899" spans="1:12">
      <c r="A899" s="43" t="s">
        <v>2351</v>
      </c>
      <c r="B899" s="6" t="s">
        <v>2352</v>
      </c>
      <c r="C899" s="37" t="s">
        <v>14</v>
      </c>
      <c r="D899" s="37" t="s">
        <v>783</v>
      </c>
      <c r="F899" s="38">
        <v>46218</v>
      </c>
      <c r="G899" s="60" t="s">
        <v>2167</v>
      </c>
      <c r="H899" s="54">
        <v>109.99</v>
      </c>
      <c r="I899" s="54"/>
      <c r="L899" s="37" t="s">
        <v>784</v>
      </c>
    </row>
    <row r="900" spans="1:12">
      <c r="A900" s="43" t="s">
        <v>2353</v>
      </c>
      <c r="B900" s="6" t="s">
        <v>2354</v>
      </c>
      <c r="C900" s="37" t="s">
        <v>14</v>
      </c>
      <c r="D900" s="37" t="s">
        <v>15</v>
      </c>
      <c r="E900" s="37" t="s">
        <v>16</v>
      </c>
      <c r="F900" s="38">
        <v>46212</v>
      </c>
      <c r="G900" s="60" t="s">
        <v>2167</v>
      </c>
      <c r="H900" s="54">
        <v>6.68</v>
      </c>
      <c r="I900" s="54"/>
      <c r="J900" s="61" t="s">
        <v>2221</v>
      </c>
      <c r="L900" s="37" t="s">
        <v>17</v>
      </c>
    </row>
    <row r="901" spans="1:12">
      <c r="A901" s="43" t="s">
        <v>2355</v>
      </c>
      <c r="B901" s="6" t="s">
        <v>2356</v>
      </c>
      <c r="C901" s="37" t="s">
        <v>14</v>
      </c>
      <c r="D901" s="37" t="s">
        <v>783</v>
      </c>
      <c r="F901" s="38">
        <v>46218</v>
      </c>
      <c r="G901" s="60" t="s">
        <v>2167</v>
      </c>
      <c r="H901" s="54">
        <v>109.99</v>
      </c>
      <c r="I901" s="54"/>
      <c r="L901" s="37" t="s">
        <v>784</v>
      </c>
    </row>
    <row r="902" spans="1:12">
      <c r="A902" s="43" t="s">
        <v>2357</v>
      </c>
      <c r="B902" s="6" t="s">
        <v>2358</v>
      </c>
      <c r="C902" s="37" t="s">
        <v>14</v>
      </c>
      <c r="D902" s="37" t="s">
        <v>15</v>
      </c>
      <c r="E902" s="37" t="s">
        <v>58</v>
      </c>
      <c r="F902" s="38">
        <v>46217</v>
      </c>
      <c r="G902" s="60" t="s">
        <v>2167</v>
      </c>
      <c r="H902" s="54">
        <v>109.99</v>
      </c>
      <c r="I902" s="54">
        <v>70</v>
      </c>
      <c r="J902" s="39">
        <v>46220</v>
      </c>
      <c r="K902" s="36" t="s">
        <v>2359</v>
      </c>
      <c r="L902" s="37" t="s">
        <v>784</v>
      </c>
    </row>
    <row r="903" spans="1:12">
      <c r="A903" s="43" t="s">
        <v>923</v>
      </c>
      <c r="B903" s="6" t="s">
        <v>924</v>
      </c>
      <c r="C903" s="37" t="s">
        <v>14</v>
      </c>
      <c r="D903" s="37" t="s">
        <v>15</v>
      </c>
      <c r="E903" s="37" t="s">
        <v>23</v>
      </c>
      <c r="F903" s="38">
        <v>46217</v>
      </c>
      <c r="G903" s="60" t="s">
        <v>2167</v>
      </c>
      <c r="H903" s="54">
        <v>109.99</v>
      </c>
      <c r="I903" s="54">
        <v>40</v>
      </c>
      <c r="J903" s="39">
        <v>46220</v>
      </c>
      <c r="K903" s="36" t="s">
        <v>2360</v>
      </c>
      <c r="L903" s="37" t="s">
        <v>784</v>
      </c>
    </row>
    <row r="904" spans="1:12">
      <c r="A904" s="43" t="s">
        <v>2361</v>
      </c>
      <c r="B904" s="6" t="s">
        <v>2362</v>
      </c>
      <c r="C904" s="37" t="s">
        <v>14</v>
      </c>
      <c r="D904" s="37" t="s">
        <v>15</v>
      </c>
      <c r="E904" s="37" t="s">
        <v>23</v>
      </c>
      <c r="F904" s="38">
        <v>46217</v>
      </c>
      <c r="G904" s="59" t="s">
        <v>2167</v>
      </c>
      <c r="H904" s="54">
        <v>139.99</v>
      </c>
      <c r="I904" s="54">
        <v>74.42</v>
      </c>
      <c r="J904" s="39">
        <v>46220</v>
      </c>
      <c r="K904" s="36" t="s">
        <v>2363</v>
      </c>
      <c r="L904" s="37" t="s">
        <v>784</v>
      </c>
    </row>
    <row r="905" spans="1:12">
      <c r="A905" s="43" t="s">
        <v>2364</v>
      </c>
      <c r="B905" s="6" t="s">
        <v>2365</v>
      </c>
      <c r="C905" s="37" t="s">
        <v>14</v>
      </c>
      <c r="D905" s="37" t="s">
        <v>783</v>
      </c>
      <c r="F905" s="38">
        <v>46218</v>
      </c>
      <c r="G905" s="59" t="s">
        <v>2167</v>
      </c>
      <c r="H905" s="54">
        <v>67.39</v>
      </c>
      <c r="I905" s="54"/>
      <c r="L905" s="37" t="s">
        <v>784</v>
      </c>
    </row>
    <row r="906" spans="1:12">
      <c r="A906" s="43" t="s">
        <v>2366</v>
      </c>
      <c r="B906" s="6" t="s">
        <v>2367</v>
      </c>
      <c r="C906" s="37" t="s">
        <v>14</v>
      </c>
      <c r="D906" s="37" t="s">
        <v>15</v>
      </c>
      <c r="E906" s="37" t="s">
        <v>23</v>
      </c>
      <c r="F906" s="38">
        <v>46217</v>
      </c>
      <c r="G906" s="59" t="s">
        <v>2167</v>
      </c>
      <c r="H906" s="54">
        <v>99.99</v>
      </c>
      <c r="I906" s="54">
        <v>20.29</v>
      </c>
      <c r="J906" s="39">
        <v>46221</v>
      </c>
      <c r="K906" s="36" t="s">
        <v>2368</v>
      </c>
      <c r="L906" s="37" t="s">
        <v>784</v>
      </c>
    </row>
    <row r="907" spans="1:12">
      <c r="A907" s="43" t="s">
        <v>2369</v>
      </c>
      <c r="B907" s="6" t="s">
        <v>2370</v>
      </c>
      <c r="C907" s="37" t="s">
        <v>14</v>
      </c>
      <c r="D907" s="37" t="s">
        <v>15</v>
      </c>
      <c r="E907" s="37" t="s">
        <v>23</v>
      </c>
      <c r="F907" s="38">
        <v>46218</v>
      </c>
      <c r="G907" s="59" t="s">
        <v>2167</v>
      </c>
      <c r="H907" s="54">
        <v>109.99</v>
      </c>
      <c r="I907" s="54">
        <v>65.180000000000007</v>
      </c>
      <c r="J907" s="39">
        <v>46220</v>
      </c>
      <c r="K907" s="36" t="s">
        <v>2371</v>
      </c>
      <c r="L907" s="37" t="s">
        <v>784</v>
      </c>
    </row>
    <row r="908" spans="1:12">
      <c r="A908" s="43" t="s">
        <v>2372</v>
      </c>
      <c r="B908" s="6" t="s">
        <v>2373</v>
      </c>
      <c r="C908" s="37" t="s">
        <v>14</v>
      </c>
      <c r="D908" s="37" t="s">
        <v>15</v>
      </c>
      <c r="E908" s="37" t="s">
        <v>169</v>
      </c>
      <c r="F908" s="38">
        <v>46217</v>
      </c>
      <c r="G908" s="59" t="s">
        <v>2167</v>
      </c>
      <c r="H908" s="54">
        <v>110.09</v>
      </c>
      <c r="I908" s="54">
        <v>85.76</v>
      </c>
      <c r="J908" s="39">
        <v>46221</v>
      </c>
      <c r="K908" s="36" t="s">
        <v>2374</v>
      </c>
      <c r="L908" s="37" t="s">
        <v>784</v>
      </c>
    </row>
    <row r="909" spans="1:12">
      <c r="A909" s="43" t="s">
        <v>2375</v>
      </c>
      <c r="B909" s="6" t="s">
        <v>2376</v>
      </c>
      <c r="C909" s="37" t="s">
        <v>14</v>
      </c>
      <c r="D909" s="37" t="s">
        <v>15</v>
      </c>
      <c r="E909" s="37" t="s">
        <v>16</v>
      </c>
      <c r="F909" s="38">
        <v>46212</v>
      </c>
      <c r="G909" s="60" t="s">
        <v>2167</v>
      </c>
      <c r="H909" s="54">
        <v>8.7200000000000006</v>
      </c>
      <c r="I909" s="54"/>
      <c r="J909" s="61" t="s">
        <v>2221</v>
      </c>
      <c r="L909" s="37" t="s">
        <v>17</v>
      </c>
    </row>
    <row r="910" spans="1:12">
      <c r="A910" s="43" t="s">
        <v>2377</v>
      </c>
      <c r="B910" s="6" t="s">
        <v>2378</v>
      </c>
      <c r="C910" s="37" t="s">
        <v>14</v>
      </c>
      <c r="D910" s="37" t="s">
        <v>15</v>
      </c>
      <c r="E910" s="37" t="s">
        <v>23</v>
      </c>
      <c r="F910" s="38">
        <v>46218</v>
      </c>
      <c r="G910" s="59" t="s">
        <v>2167</v>
      </c>
      <c r="H910" s="54">
        <v>109.99</v>
      </c>
      <c r="I910" s="54">
        <v>59.9</v>
      </c>
      <c r="J910" s="39" t="s">
        <v>2379</v>
      </c>
      <c r="K910" s="36" t="s">
        <v>2380</v>
      </c>
      <c r="L910" s="37" t="s">
        <v>784</v>
      </c>
    </row>
    <row r="911" spans="1:12">
      <c r="A911" s="43" t="s">
        <v>2381</v>
      </c>
      <c r="B911" s="6" t="s">
        <v>2382</v>
      </c>
      <c r="C911" s="37" t="s">
        <v>14</v>
      </c>
      <c r="D911" s="37" t="s">
        <v>15</v>
      </c>
      <c r="E911" s="37" t="s">
        <v>16</v>
      </c>
      <c r="F911" s="38">
        <v>46212</v>
      </c>
      <c r="G911" s="59" t="s">
        <v>2167</v>
      </c>
      <c r="H911" s="54">
        <v>7.33</v>
      </c>
      <c r="I911" s="54"/>
      <c r="J911" s="61" t="s">
        <v>2221</v>
      </c>
      <c r="L911" s="37" t="s">
        <v>17</v>
      </c>
    </row>
    <row r="912" spans="1:12">
      <c r="A912" s="43" t="s">
        <v>2383</v>
      </c>
      <c r="B912" s="6" t="s">
        <v>2384</v>
      </c>
      <c r="C912" s="37" t="s">
        <v>14</v>
      </c>
      <c r="D912" s="37" t="s">
        <v>15</v>
      </c>
      <c r="E912" s="37" t="s">
        <v>23</v>
      </c>
      <c r="F912" s="38">
        <v>46218</v>
      </c>
      <c r="G912" s="60" t="s">
        <v>2164</v>
      </c>
      <c r="H912" s="54">
        <v>55.01</v>
      </c>
      <c r="I912" s="54">
        <v>25.01</v>
      </c>
      <c r="J912" s="39">
        <v>46223</v>
      </c>
      <c r="K912" s="36" t="s">
        <v>2385</v>
      </c>
      <c r="L912" s="37" t="s">
        <v>784</v>
      </c>
    </row>
    <row r="913" spans="1:12">
      <c r="A913" s="43" t="s">
        <v>854</v>
      </c>
      <c r="B913" s="6" t="s">
        <v>855</v>
      </c>
      <c r="C913" s="37" t="s">
        <v>14</v>
      </c>
      <c r="D913" s="37" t="s">
        <v>15</v>
      </c>
      <c r="E913" s="37" t="s">
        <v>169</v>
      </c>
      <c r="F913" s="38">
        <v>46218</v>
      </c>
      <c r="G913" s="59" t="s">
        <v>2167</v>
      </c>
      <c r="H913" s="54">
        <v>119.99</v>
      </c>
      <c r="I913" s="54">
        <v>48.77</v>
      </c>
      <c r="J913" s="39">
        <v>46222</v>
      </c>
      <c r="K913" s="36" t="s">
        <v>2386</v>
      </c>
      <c r="L913" s="37" t="s">
        <v>784</v>
      </c>
    </row>
    <row r="914" spans="1:12">
      <c r="A914" s="43" t="s">
        <v>2387</v>
      </c>
      <c r="B914" s="6" t="s">
        <v>2388</v>
      </c>
      <c r="C914" s="37" t="s">
        <v>14</v>
      </c>
      <c r="D914" s="37" t="s">
        <v>783</v>
      </c>
      <c r="F914" s="38">
        <v>46218</v>
      </c>
      <c r="G914" s="60" t="s">
        <v>2167</v>
      </c>
      <c r="H914" s="54">
        <v>99.99</v>
      </c>
      <c r="I914" s="54"/>
      <c r="L914" s="37" t="s">
        <v>784</v>
      </c>
    </row>
    <row r="915" spans="1:12">
      <c r="A915" s="43" t="s">
        <v>2389</v>
      </c>
      <c r="B915" s="6" t="s">
        <v>2390</v>
      </c>
      <c r="C915" s="37" t="s">
        <v>14</v>
      </c>
      <c r="D915" s="37" t="s">
        <v>783</v>
      </c>
      <c r="F915" s="38">
        <v>46218</v>
      </c>
      <c r="G915" s="59" t="s">
        <v>2167</v>
      </c>
      <c r="H915" s="54">
        <v>109.99</v>
      </c>
      <c r="I915" s="54"/>
      <c r="L915" s="37" t="s">
        <v>784</v>
      </c>
    </row>
    <row r="916" spans="1:12">
      <c r="A916" s="43">
        <v>38484014000109</v>
      </c>
      <c r="B916" s="6" t="s">
        <v>2391</v>
      </c>
      <c r="C916" s="37" t="s">
        <v>14</v>
      </c>
      <c r="D916" s="37" t="s">
        <v>2392</v>
      </c>
      <c r="F916" s="38">
        <v>46218</v>
      </c>
      <c r="G916" s="60" t="s">
        <v>2167</v>
      </c>
      <c r="H916" s="54">
        <v>119.99</v>
      </c>
      <c r="I916" s="54"/>
      <c r="L916" s="37" t="s">
        <v>784</v>
      </c>
    </row>
    <row r="917" spans="1:12">
      <c r="A917" s="43" t="s">
        <v>912</v>
      </c>
      <c r="B917" s="6" t="s">
        <v>913</v>
      </c>
      <c r="C917" s="37" t="s">
        <v>14</v>
      </c>
      <c r="D917" s="37" t="s">
        <v>783</v>
      </c>
      <c r="F917" s="38">
        <v>46218</v>
      </c>
      <c r="G917" s="60" t="s">
        <v>2164</v>
      </c>
      <c r="H917" s="54">
        <v>109.99</v>
      </c>
      <c r="I917" s="54"/>
      <c r="L917" s="37" t="s">
        <v>784</v>
      </c>
    </row>
    <row r="918" spans="1:12">
      <c r="A918" s="43" t="s">
        <v>2393</v>
      </c>
      <c r="B918" s="6" t="s">
        <v>2394</v>
      </c>
      <c r="C918" s="37" t="s">
        <v>14</v>
      </c>
      <c r="D918" s="37" t="s">
        <v>783</v>
      </c>
      <c r="F918" s="38">
        <v>46218</v>
      </c>
      <c r="G918" s="59" t="s">
        <v>2167</v>
      </c>
      <c r="H918" s="54">
        <v>112.23</v>
      </c>
      <c r="I918" s="54"/>
      <c r="L918" s="37" t="s">
        <v>784</v>
      </c>
    </row>
    <row r="919" spans="1:12">
      <c r="A919" s="43" t="s">
        <v>2395</v>
      </c>
      <c r="B919" s="6" t="s">
        <v>2396</v>
      </c>
      <c r="C919" s="37" t="s">
        <v>14</v>
      </c>
      <c r="D919" s="37" t="s">
        <v>15</v>
      </c>
      <c r="E919" s="37" t="s">
        <v>16</v>
      </c>
      <c r="F919" s="38">
        <v>46212</v>
      </c>
      <c r="G919" s="60" t="s">
        <v>2167</v>
      </c>
      <c r="H919" s="54">
        <v>7.33</v>
      </c>
      <c r="I919" s="54"/>
      <c r="J919" s="61" t="s">
        <v>2221</v>
      </c>
      <c r="L919" s="37" t="s">
        <v>17</v>
      </c>
    </row>
    <row r="920" spans="1:12">
      <c r="A920" s="43" t="s">
        <v>2397</v>
      </c>
      <c r="B920" s="6" t="s">
        <v>2398</v>
      </c>
      <c r="C920" s="37" t="s">
        <v>14</v>
      </c>
      <c r="D920" s="37" t="s">
        <v>783</v>
      </c>
      <c r="F920" s="38">
        <v>46218</v>
      </c>
      <c r="G920" s="60" t="s">
        <v>2167</v>
      </c>
      <c r="H920" s="54">
        <v>121.36</v>
      </c>
      <c r="I920" s="54"/>
      <c r="L920" s="37" t="s">
        <v>784</v>
      </c>
    </row>
    <row r="921" spans="1:12">
      <c r="A921" s="43" t="s">
        <v>2399</v>
      </c>
      <c r="B921" s="6" t="s">
        <v>2400</v>
      </c>
      <c r="C921" s="37" t="s">
        <v>14</v>
      </c>
      <c r="D921" s="37" t="s">
        <v>783</v>
      </c>
      <c r="F921" s="38">
        <v>46218</v>
      </c>
      <c r="G921" s="59" t="s">
        <v>2167</v>
      </c>
      <c r="H921" s="54">
        <v>123.23</v>
      </c>
      <c r="I921" s="54"/>
      <c r="L921" s="37" t="s">
        <v>784</v>
      </c>
    </row>
    <row r="922" spans="1:12">
      <c r="A922" s="43" t="s">
        <v>2401</v>
      </c>
      <c r="B922" s="6" t="s">
        <v>2402</v>
      </c>
      <c r="C922" s="37" t="s">
        <v>14</v>
      </c>
      <c r="D922" s="37" t="s">
        <v>15</v>
      </c>
      <c r="E922" s="37" t="s">
        <v>169</v>
      </c>
      <c r="F922" s="38">
        <v>46218</v>
      </c>
      <c r="G922" s="60" t="s">
        <v>2167</v>
      </c>
      <c r="H922" s="54">
        <v>58.7</v>
      </c>
      <c r="I922" s="54">
        <v>34.89</v>
      </c>
      <c r="J922" s="39">
        <v>46223</v>
      </c>
      <c r="K922" s="36" t="s">
        <v>2403</v>
      </c>
      <c r="L922" s="37" t="s">
        <v>784</v>
      </c>
    </row>
    <row r="923" spans="1:12">
      <c r="A923" s="43" t="s">
        <v>2404</v>
      </c>
      <c r="B923" s="6" t="s">
        <v>2405</v>
      </c>
      <c r="C923" s="37" t="s">
        <v>14</v>
      </c>
      <c r="D923" s="37" t="s">
        <v>783</v>
      </c>
      <c r="F923" s="38">
        <v>46218</v>
      </c>
      <c r="G923" s="60" t="s">
        <v>2167</v>
      </c>
      <c r="H923" s="54">
        <v>109.99</v>
      </c>
      <c r="I923" s="54"/>
      <c r="L923" s="37" t="s">
        <v>784</v>
      </c>
    </row>
    <row r="924" spans="1:12">
      <c r="A924" s="43" t="s">
        <v>945</v>
      </c>
      <c r="B924" s="6" t="s">
        <v>946</v>
      </c>
      <c r="C924" s="37" t="s">
        <v>14</v>
      </c>
      <c r="D924" s="37" t="s">
        <v>15</v>
      </c>
      <c r="E924" s="37" t="s">
        <v>23</v>
      </c>
      <c r="F924" s="38">
        <v>46217</v>
      </c>
      <c r="G924" s="59" t="s">
        <v>2167</v>
      </c>
      <c r="H924" s="54">
        <v>112.13</v>
      </c>
      <c r="I924" s="54">
        <v>65</v>
      </c>
      <c r="J924" s="39">
        <v>46222</v>
      </c>
      <c r="K924" s="36" t="s">
        <v>2406</v>
      </c>
      <c r="L924" s="37" t="s">
        <v>784</v>
      </c>
    </row>
    <row r="925" spans="1:12">
      <c r="A925" s="43" t="s">
        <v>838</v>
      </c>
      <c r="B925" s="6" t="s">
        <v>839</v>
      </c>
      <c r="C925" s="37" t="s">
        <v>14</v>
      </c>
      <c r="D925" s="37" t="s">
        <v>15</v>
      </c>
      <c r="E925" s="37" t="s">
        <v>23</v>
      </c>
      <c r="F925" s="38">
        <v>46217</v>
      </c>
      <c r="G925" s="59" t="s">
        <v>2167</v>
      </c>
      <c r="H925" s="54">
        <v>109.99</v>
      </c>
      <c r="I925" s="54">
        <v>44.66</v>
      </c>
      <c r="J925" s="39">
        <v>46222</v>
      </c>
      <c r="K925" s="36" t="s">
        <v>2407</v>
      </c>
      <c r="L925" s="37" t="s">
        <v>784</v>
      </c>
    </row>
    <row r="926" spans="1:12">
      <c r="A926" s="43" t="s">
        <v>2408</v>
      </c>
      <c r="B926" s="6" t="s">
        <v>2409</v>
      </c>
      <c r="C926" s="37" t="s">
        <v>14</v>
      </c>
      <c r="D926" s="37" t="s">
        <v>15</v>
      </c>
      <c r="E926" s="37" t="s">
        <v>169</v>
      </c>
      <c r="F926" s="38">
        <v>46217</v>
      </c>
      <c r="G926" s="59" t="s">
        <v>2167</v>
      </c>
      <c r="H926" s="54">
        <v>112.59</v>
      </c>
      <c r="I926" s="54">
        <v>45.77</v>
      </c>
      <c r="J926" s="39">
        <v>46220</v>
      </c>
      <c r="K926" s="36" t="s">
        <v>2410</v>
      </c>
      <c r="L926" s="37" t="s">
        <v>784</v>
      </c>
    </row>
    <row r="927" spans="1:12">
      <c r="A927" s="43" t="s">
        <v>2411</v>
      </c>
      <c r="B927" s="6" t="s">
        <v>2412</v>
      </c>
      <c r="C927" s="37" t="s">
        <v>14</v>
      </c>
      <c r="D927" s="37" t="s">
        <v>2392</v>
      </c>
      <c r="F927" s="38">
        <v>46218</v>
      </c>
      <c r="G927" s="59" t="s">
        <v>2167</v>
      </c>
      <c r="H927" s="54">
        <v>102.43</v>
      </c>
      <c r="I927" s="54"/>
      <c r="L927" s="37" t="s">
        <v>784</v>
      </c>
    </row>
    <row r="928" spans="1:12">
      <c r="A928" s="43" t="s">
        <v>2413</v>
      </c>
      <c r="B928" s="6" t="s">
        <v>2414</v>
      </c>
      <c r="C928" s="37" t="s">
        <v>14</v>
      </c>
      <c r="D928" s="37" t="s">
        <v>2392</v>
      </c>
      <c r="F928" s="38">
        <v>46218</v>
      </c>
      <c r="G928" s="59" t="s">
        <v>2167</v>
      </c>
      <c r="H928" s="54">
        <v>102.43</v>
      </c>
      <c r="I928" s="54"/>
      <c r="L928" s="37" t="s">
        <v>784</v>
      </c>
    </row>
    <row r="929" spans="1:12">
      <c r="A929" s="43" t="s">
        <v>2415</v>
      </c>
      <c r="B929" s="6" t="s">
        <v>2416</v>
      </c>
      <c r="C929" s="37" t="s">
        <v>14</v>
      </c>
      <c r="D929" s="37" t="s">
        <v>2392</v>
      </c>
      <c r="F929" s="38">
        <v>46218</v>
      </c>
      <c r="G929" s="59" t="s">
        <v>2167</v>
      </c>
      <c r="H929" s="54">
        <v>109.99</v>
      </c>
      <c r="I929" s="54"/>
      <c r="L929" s="37" t="s">
        <v>784</v>
      </c>
    </row>
    <row r="930" spans="1:12">
      <c r="A930" s="43" t="s">
        <v>2417</v>
      </c>
      <c r="B930" s="6" t="s">
        <v>2418</v>
      </c>
      <c r="C930" s="37" t="s">
        <v>14</v>
      </c>
      <c r="D930" s="37" t="s">
        <v>2392</v>
      </c>
      <c r="F930" s="38">
        <v>46218</v>
      </c>
      <c r="G930" s="60" t="s">
        <v>2167</v>
      </c>
      <c r="H930" s="54">
        <v>109.99</v>
      </c>
      <c r="I930" s="54"/>
      <c r="L930" s="37" t="s">
        <v>784</v>
      </c>
    </row>
    <row r="931" spans="1:12">
      <c r="A931" s="43" t="s">
        <v>1002</v>
      </c>
      <c r="B931" s="6" t="s">
        <v>2419</v>
      </c>
      <c r="C931" s="37" t="s">
        <v>14</v>
      </c>
      <c r="D931" s="37" t="s">
        <v>2392</v>
      </c>
      <c r="F931" s="38">
        <v>46218</v>
      </c>
      <c r="G931" s="60" t="s">
        <v>2167</v>
      </c>
      <c r="H931" s="54">
        <v>50.15</v>
      </c>
      <c r="I931" s="54"/>
      <c r="L931" s="37" t="s">
        <v>784</v>
      </c>
    </row>
    <row r="932" spans="1:12">
      <c r="A932" s="43" t="s">
        <v>1002</v>
      </c>
      <c r="B932" s="6" t="s">
        <v>1003</v>
      </c>
      <c r="C932" s="37" t="s">
        <v>14</v>
      </c>
      <c r="D932" s="37" t="s">
        <v>2392</v>
      </c>
      <c r="F932" s="38">
        <v>46218</v>
      </c>
      <c r="G932" s="59" t="s">
        <v>2167</v>
      </c>
      <c r="H932" s="54">
        <v>50.28</v>
      </c>
      <c r="I932" s="54"/>
      <c r="L932" s="37" t="s">
        <v>784</v>
      </c>
    </row>
    <row r="933" spans="1:12">
      <c r="A933" s="43" t="s">
        <v>1000</v>
      </c>
      <c r="B933" s="6" t="s">
        <v>1001</v>
      </c>
      <c r="C933" s="37" t="s">
        <v>14</v>
      </c>
      <c r="D933" s="37" t="s">
        <v>2392</v>
      </c>
      <c r="F933" s="38">
        <v>46218</v>
      </c>
      <c r="G933" s="59" t="s">
        <v>2167</v>
      </c>
      <c r="H933" s="54">
        <v>49.99</v>
      </c>
      <c r="I933" s="54"/>
      <c r="J933" s="61"/>
      <c r="L933" s="37" t="s">
        <v>784</v>
      </c>
    </row>
    <row r="934" spans="1:12">
      <c r="A934" s="43" t="s">
        <v>2420</v>
      </c>
      <c r="B934" s="6" t="s">
        <v>2421</v>
      </c>
      <c r="C934" s="37" t="s">
        <v>14</v>
      </c>
      <c r="D934" s="37" t="s">
        <v>2392</v>
      </c>
      <c r="F934" s="38">
        <v>46218</v>
      </c>
      <c r="G934" s="59" t="s">
        <v>2167</v>
      </c>
      <c r="H934" s="54">
        <v>49.99</v>
      </c>
      <c r="I934" s="54"/>
      <c r="J934" s="61"/>
      <c r="L934" s="37" t="s">
        <v>784</v>
      </c>
    </row>
    <row r="935" spans="1:12">
      <c r="A935" s="43" t="s">
        <v>990</v>
      </c>
      <c r="B935" s="6" t="s">
        <v>991</v>
      </c>
      <c r="C935" s="37" t="s">
        <v>14</v>
      </c>
      <c r="D935" s="37" t="s">
        <v>2392</v>
      </c>
      <c r="F935" s="38">
        <v>46218</v>
      </c>
      <c r="G935" s="59" t="s">
        <v>2167</v>
      </c>
      <c r="H935" s="54">
        <v>99.99</v>
      </c>
      <c r="I935" s="54"/>
      <c r="L935" s="37" t="s">
        <v>784</v>
      </c>
    </row>
    <row r="936" spans="1:12">
      <c r="A936" s="43" t="s">
        <v>2422</v>
      </c>
      <c r="B936" s="6" t="s">
        <v>2423</v>
      </c>
      <c r="C936" s="37" t="s">
        <v>14</v>
      </c>
      <c r="D936" s="37" t="s">
        <v>2392</v>
      </c>
      <c r="F936" s="38">
        <v>46218</v>
      </c>
      <c r="G936" s="59" t="s">
        <v>2167</v>
      </c>
      <c r="H936" s="54">
        <v>89.99</v>
      </c>
      <c r="I936" s="54"/>
      <c r="L936" s="37" t="s">
        <v>784</v>
      </c>
    </row>
    <row r="937" spans="1:12">
      <c r="A937" s="43" t="s">
        <v>2424</v>
      </c>
      <c r="B937" s="6" t="s">
        <v>2425</v>
      </c>
      <c r="C937" s="37" t="s">
        <v>14</v>
      </c>
      <c r="D937" s="37" t="s">
        <v>2392</v>
      </c>
      <c r="F937" s="38">
        <v>46218</v>
      </c>
      <c r="G937" s="59" t="s">
        <v>2167</v>
      </c>
      <c r="H937" s="54">
        <v>99.99</v>
      </c>
      <c r="I937" s="54"/>
      <c r="L937" s="37" t="s">
        <v>784</v>
      </c>
    </row>
    <row r="938" spans="1:12">
      <c r="A938" s="43" t="s">
        <v>2426</v>
      </c>
      <c r="B938" s="6" t="s">
        <v>2427</v>
      </c>
      <c r="C938" s="37" t="s">
        <v>14</v>
      </c>
      <c r="D938" s="37" t="s">
        <v>2392</v>
      </c>
      <c r="F938" s="38">
        <v>46218</v>
      </c>
      <c r="G938" s="59" t="s">
        <v>2167</v>
      </c>
      <c r="H938" s="54">
        <v>99.81</v>
      </c>
      <c r="I938" s="54"/>
      <c r="L938" s="37" t="s">
        <v>784</v>
      </c>
    </row>
    <row r="939" spans="1:12">
      <c r="A939" s="43" t="s">
        <v>2428</v>
      </c>
      <c r="B939" s="6" t="s">
        <v>2429</v>
      </c>
      <c r="C939" s="37" t="s">
        <v>14</v>
      </c>
      <c r="D939" s="37" t="s">
        <v>2392</v>
      </c>
      <c r="F939" s="38">
        <v>46218</v>
      </c>
      <c r="G939" s="59" t="s">
        <v>2167</v>
      </c>
      <c r="H939" s="54">
        <v>109.99</v>
      </c>
      <c r="I939" s="54"/>
      <c r="L939" s="37" t="s">
        <v>784</v>
      </c>
    </row>
    <row r="940" spans="1:12">
      <c r="A940" s="43" t="s">
        <v>2430</v>
      </c>
      <c r="B940" s="6" t="s">
        <v>2431</v>
      </c>
      <c r="C940" s="37" t="s">
        <v>14</v>
      </c>
      <c r="D940" s="37" t="s">
        <v>2392</v>
      </c>
      <c r="F940" s="38">
        <v>46218</v>
      </c>
      <c r="G940" s="59" t="s">
        <v>2167</v>
      </c>
      <c r="H940" s="54">
        <v>99.99</v>
      </c>
      <c r="I940" s="54"/>
      <c r="L940" s="37" t="s">
        <v>784</v>
      </c>
    </row>
    <row r="941" spans="1:12">
      <c r="A941" s="43" t="s">
        <v>2432</v>
      </c>
      <c r="B941" s="6" t="s">
        <v>2433</v>
      </c>
      <c r="C941" s="37" t="s">
        <v>14</v>
      </c>
      <c r="D941" s="37" t="s">
        <v>2392</v>
      </c>
      <c r="F941" s="38">
        <v>46218</v>
      </c>
      <c r="G941" s="59" t="s">
        <v>2167</v>
      </c>
      <c r="H941" s="54">
        <v>99.99</v>
      </c>
      <c r="I941" s="54"/>
      <c r="L941" s="37" t="s">
        <v>784</v>
      </c>
    </row>
    <row r="942" spans="1:12">
      <c r="A942" s="43" t="s">
        <v>974</v>
      </c>
      <c r="B942" s="6" t="s">
        <v>975</v>
      </c>
      <c r="C942" s="37" t="s">
        <v>14</v>
      </c>
      <c r="D942" s="37" t="s">
        <v>2392</v>
      </c>
      <c r="F942" s="38">
        <v>46218</v>
      </c>
      <c r="G942" s="59" t="s">
        <v>2167</v>
      </c>
      <c r="H942" s="54">
        <v>99.99</v>
      </c>
      <c r="I942" s="54"/>
      <c r="L942" s="37" t="s">
        <v>784</v>
      </c>
    </row>
    <row r="943" spans="1:12">
      <c r="A943" s="43" t="s">
        <v>996</v>
      </c>
      <c r="B943" s="6" t="s">
        <v>997</v>
      </c>
      <c r="C943" s="37" t="s">
        <v>14</v>
      </c>
      <c r="D943" s="37" t="s">
        <v>15</v>
      </c>
      <c r="E943" s="37" t="s">
        <v>58</v>
      </c>
      <c r="F943" s="38">
        <v>46217</v>
      </c>
      <c r="G943" s="59" t="s">
        <v>2167</v>
      </c>
      <c r="H943" s="54">
        <v>99.99</v>
      </c>
      <c r="I943" s="54">
        <v>49.65</v>
      </c>
      <c r="J943" s="39">
        <v>46220</v>
      </c>
      <c r="K943" s="36" t="s">
        <v>2434</v>
      </c>
      <c r="L943" s="37" t="s">
        <v>784</v>
      </c>
    </row>
    <row r="944" spans="1:12">
      <c r="A944" s="43" t="s">
        <v>2435</v>
      </c>
      <c r="B944" s="6" t="s">
        <v>2436</v>
      </c>
      <c r="C944" s="37" t="s">
        <v>14</v>
      </c>
      <c r="D944" s="37" t="s">
        <v>2392</v>
      </c>
      <c r="F944" s="38">
        <v>46218</v>
      </c>
      <c r="G944" s="59" t="s">
        <v>2167</v>
      </c>
      <c r="H944" s="54">
        <v>119.88</v>
      </c>
      <c r="I944" s="54"/>
      <c r="L944" s="37" t="s">
        <v>784</v>
      </c>
    </row>
    <row r="945" spans="1:12">
      <c r="A945" s="43" t="s">
        <v>2437</v>
      </c>
      <c r="B945" s="6" t="s">
        <v>2438</v>
      </c>
      <c r="C945" s="37" t="s">
        <v>14</v>
      </c>
      <c r="D945" s="37" t="s">
        <v>2392</v>
      </c>
      <c r="F945" s="38">
        <v>46218</v>
      </c>
      <c r="G945" s="59" t="s">
        <v>2167</v>
      </c>
      <c r="H945" s="54">
        <v>100.44</v>
      </c>
      <c r="I945" s="54"/>
      <c r="L945" s="37" t="s">
        <v>784</v>
      </c>
    </row>
    <row r="946" spans="1:12">
      <c r="A946" s="43" t="s">
        <v>2439</v>
      </c>
      <c r="B946" s="6" t="s">
        <v>2440</v>
      </c>
      <c r="C946" s="37" t="s">
        <v>14</v>
      </c>
      <c r="D946" s="37" t="s">
        <v>2392</v>
      </c>
      <c r="F946" s="38">
        <v>46218</v>
      </c>
      <c r="G946" s="59" t="s">
        <v>2167</v>
      </c>
      <c r="H946" s="54">
        <v>99.99</v>
      </c>
      <c r="I946" s="54"/>
      <c r="L946" s="37" t="s">
        <v>784</v>
      </c>
    </row>
    <row r="947" spans="1:12">
      <c r="A947" s="43" t="s">
        <v>979</v>
      </c>
      <c r="B947" s="6" t="s">
        <v>980</v>
      </c>
      <c r="C947" s="37" t="s">
        <v>14</v>
      </c>
      <c r="D947" s="37" t="s">
        <v>2392</v>
      </c>
      <c r="F947" s="38">
        <v>46218</v>
      </c>
      <c r="G947" s="59" t="s">
        <v>2167</v>
      </c>
      <c r="H947" s="54">
        <v>99.99</v>
      </c>
      <c r="I947" s="54"/>
      <c r="L947" s="37" t="s">
        <v>784</v>
      </c>
    </row>
    <row r="948" spans="1:12">
      <c r="A948" s="43" t="s">
        <v>2441</v>
      </c>
      <c r="B948" s="6" t="s">
        <v>2442</v>
      </c>
      <c r="C948" s="37" t="s">
        <v>14</v>
      </c>
      <c r="D948" s="37" t="s">
        <v>2392</v>
      </c>
      <c r="F948" s="38">
        <v>46218</v>
      </c>
      <c r="G948" s="59" t="s">
        <v>2167</v>
      </c>
      <c r="H948" s="54">
        <v>99.99</v>
      </c>
      <c r="I948" s="54"/>
      <c r="L948" s="37" t="s">
        <v>784</v>
      </c>
    </row>
    <row r="949" spans="1:12">
      <c r="A949" s="43" t="s">
        <v>2443</v>
      </c>
      <c r="B949" s="6" t="s">
        <v>2444</v>
      </c>
      <c r="C949" s="37" t="s">
        <v>14</v>
      </c>
      <c r="D949" s="37" t="s">
        <v>2392</v>
      </c>
      <c r="F949" s="38">
        <v>46218</v>
      </c>
      <c r="G949" s="59" t="s">
        <v>2167</v>
      </c>
      <c r="H949" s="54">
        <v>99.99</v>
      </c>
      <c r="I949" s="54"/>
      <c r="L949" s="37" t="s">
        <v>784</v>
      </c>
    </row>
    <row r="950" spans="1:12">
      <c r="A950" s="43" t="s">
        <v>993</v>
      </c>
      <c r="B950" s="6" t="s">
        <v>994</v>
      </c>
      <c r="C950" s="37" t="s">
        <v>14</v>
      </c>
      <c r="D950" s="37" t="s">
        <v>2392</v>
      </c>
      <c r="F950" s="38">
        <v>46218</v>
      </c>
      <c r="G950" s="59" t="s">
        <v>2167</v>
      </c>
      <c r="H950" s="54">
        <v>99.99</v>
      </c>
      <c r="I950" s="54"/>
      <c r="L950" s="37" t="s">
        <v>784</v>
      </c>
    </row>
    <row r="951" spans="1:12">
      <c r="A951" s="43" t="s">
        <v>2445</v>
      </c>
      <c r="B951" s="6" t="s">
        <v>2446</v>
      </c>
      <c r="C951" s="37" t="s">
        <v>14</v>
      </c>
      <c r="D951" s="37" t="s">
        <v>2392</v>
      </c>
      <c r="F951" s="38">
        <v>46218</v>
      </c>
      <c r="G951" s="59" t="s">
        <v>2167</v>
      </c>
      <c r="H951" s="54">
        <v>56.74</v>
      </c>
      <c r="I951" s="54"/>
      <c r="L951" s="37" t="s">
        <v>784</v>
      </c>
    </row>
    <row r="952" spans="1:12">
      <c r="A952" s="43" t="s">
        <v>971</v>
      </c>
      <c r="B952" s="6" t="s">
        <v>972</v>
      </c>
      <c r="C952" s="37" t="s">
        <v>14</v>
      </c>
      <c r="D952" s="37" t="s">
        <v>2392</v>
      </c>
      <c r="F952" s="38">
        <v>46218</v>
      </c>
      <c r="G952" s="59" t="s">
        <v>2167</v>
      </c>
      <c r="H952" s="54">
        <v>129.99</v>
      </c>
      <c r="I952" s="54"/>
      <c r="L952" s="37" t="s">
        <v>784</v>
      </c>
    </row>
    <row r="953" spans="1:12">
      <c r="A953" s="43" t="s">
        <v>963</v>
      </c>
      <c r="B953" s="6" t="s">
        <v>964</v>
      </c>
      <c r="C953" s="37" t="s">
        <v>14</v>
      </c>
      <c r="D953" s="37" t="s">
        <v>2392</v>
      </c>
      <c r="F953" s="38">
        <v>46218</v>
      </c>
      <c r="G953" s="59" t="s">
        <v>2167</v>
      </c>
      <c r="H953" s="54">
        <v>99.99</v>
      </c>
      <c r="I953" s="54"/>
      <c r="L953" s="37" t="s">
        <v>784</v>
      </c>
    </row>
    <row r="954" spans="1:12">
      <c r="A954" s="43" t="s">
        <v>969</v>
      </c>
      <c r="B954" s="6" t="s">
        <v>970</v>
      </c>
      <c r="C954" s="37" t="s">
        <v>14</v>
      </c>
      <c r="D954" s="37" t="s">
        <v>2392</v>
      </c>
      <c r="F954" s="38">
        <v>46218</v>
      </c>
      <c r="G954" s="59" t="s">
        <v>2167</v>
      </c>
      <c r="H954" s="54">
        <v>99.99</v>
      </c>
      <c r="I954" s="54"/>
      <c r="L954" s="37" t="s">
        <v>784</v>
      </c>
    </row>
    <row r="955" spans="1:12">
      <c r="A955" s="43" t="s">
        <v>312</v>
      </c>
      <c r="B955" s="6" t="s">
        <v>2447</v>
      </c>
      <c r="C955" s="37" t="s">
        <v>14</v>
      </c>
      <c r="D955" s="37" t="s">
        <v>2392</v>
      </c>
      <c r="F955" s="38">
        <v>46218</v>
      </c>
      <c r="G955" s="59" t="s">
        <v>2167</v>
      </c>
      <c r="H955" s="54">
        <v>109.99</v>
      </c>
      <c r="I955" s="54"/>
      <c r="L955" s="37" t="s">
        <v>784</v>
      </c>
    </row>
    <row r="956" spans="1:12">
      <c r="A956" s="43" t="s">
        <v>960</v>
      </c>
      <c r="B956" s="6" t="s">
        <v>961</v>
      </c>
      <c r="C956" s="37" t="s">
        <v>14</v>
      </c>
      <c r="D956" s="37" t="s">
        <v>2392</v>
      </c>
      <c r="F956" s="38">
        <v>46218</v>
      </c>
      <c r="G956" s="59" t="s">
        <v>2167</v>
      </c>
      <c r="H956" s="54">
        <v>109.99</v>
      </c>
      <c r="I956" s="54"/>
      <c r="L956" s="37" t="s">
        <v>784</v>
      </c>
    </row>
    <row r="957" spans="1:12">
      <c r="A957" s="43" t="s">
        <v>2448</v>
      </c>
      <c r="B957" s="6" t="s">
        <v>2449</v>
      </c>
      <c r="C957" s="37" t="s">
        <v>14</v>
      </c>
      <c r="D957" s="37" t="s">
        <v>2392</v>
      </c>
      <c r="F957" s="38">
        <v>46218</v>
      </c>
      <c r="G957" s="59" t="s">
        <v>2167</v>
      </c>
      <c r="H957" s="54">
        <v>120.7</v>
      </c>
      <c r="I957" s="54"/>
      <c r="L957" s="37" t="s">
        <v>784</v>
      </c>
    </row>
    <row r="958" spans="1:12">
      <c r="A958" s="43" t="s">
        <v>2450</v>
      </c>
      <c r="B958" s="6" t="s">
        <v>2451</v>
      </c>
      <c r="C958" s="37" t="s">
        <v>14</v>
      </c>
      <c r="D958" s="37" t="s">
        <v>2392</v>
      </c>
      <c r="F958" s="38">
        <v>46218</v>
      </c>
      <c r="G958" s="59" t="s">
        <v>2167</v>
      </c>
      <c r="H958" s="54">
        <v>66.03</v>
      </c>
      <c r="I958" s="54"/>
      <c r="L958" s="37" t="s">
        <v>784</v>
      </c>
    </row>
    <row r="959" spans="1:12">
      <c r="A959" s="43" t="s">
        <v>2452</v>
      </c>
      <c r="B959" s="6" t="s">
        <v>2453</v>
      </c>
      <c r="C959" s="37" t="s">
        <v>14</v>
      </c>
      <c r="D959" s="37" t="s">
        <v>2392</v>
      </c>
      <c r="F959" s="38">
        <v>46218</v>
      </c>
      <c r="G959" s="59" t="s">
        <v>2167</v>
      </c>
      <c r="H959" s="54">
        <v>129.99</v>
      </c>
      <c r="I959" s="54"/>
      <c r="L959" s="37" t="s">
        <v>784</v>
      </c>
    </row>
    <row r="960" spans="1:12">
      <c r="A960" s="43" t="s">
        <v>341</v>
      </c>
      <c r="B960" s="6" t="s">
        <v>2454</v>
      </c>
      <c r="C960" s="37" t="s">
        <v>14</v>
      </c>
      <c r="D960" s="37" t="s">
        <v>2392</v>
      </c>
      <c r="F960" s="38">
        <v>46218</v>
      </c>
      <c r="G960" s="59" t="s">
        <v>2167</v>
      </c>
      <c r="H960" s="54">
        <v>109.99</v>
      </c>
      <c r="I960" s="54"/>
      <c r="L960" s="37" t="s">
        <v>784</v>
      </c>
    </row>
    <row r="961" spans="1:12">
      <c r="A961" s="43" t="s">
        <v>2455</v>
      </c>
      <c r="B961" s="6" t="s">
        <v>2456</v>
      </c>
      <c r="C961" s="37" t="s">
        <v>14</v>
      </c>
      <c r="D961" s="37" t="s">
        <v>2392</v>
      </c>
      <c r="F961" s="38">
        <v>46218</v>
      </c>
      <c r="G961" s="59" t="s">
        <v>2167</v>
      </c>
      <c r="H961" s="54">
        <v>99.99</v>
      </c>
      <c r="I961" s="54"/>
      <c r="L961" s="37" t="s">
        <v>784</v>
      </c>
    </row>
    <row r="962" spans="1:12">
      <c r="A962" s="43" t="s">
        <v>2457</v>
      </c>
      <c r="B962" s="6" t="s">
        <v>2458</v>
      </c>
      <c r="C962" s="37" t="s">
        <v>14</v>
      </c>
      <c r="D962" s="37" t="s">
        <v>2392</v>
      </c>
      <c r="F962" s="38">
        <v>46218</v>
      </c>
      <c r="G962" s="59" t="s">
        <v>2167</v>
      </c>
      <c r="H962" s="54">
        <v>99.99</v>
      </c>
      <c r="I962" s="54"/>
      <c r="L962" s="37" t="s">
        <v>784</v>
      </c>
    </row>
    <row r="963" spans="1:12">
      <c r="A963" s="43" t="s">
        <v>2459</v>
      </c>
      <c r="B963" s="6" t="s">
        <v>2460</v>
      </c>
      <c r="C963" s="37" t="s">
        <v>14</v>
      </c>
      <c r="D963" s="37" t="s">
        <v>2392</v>
      </c>
      <c r="F963" s="38">
        <v>46218</v>
      </c>
      <c r="G963" s="59" t="s">
        <v>2164</v>
      </c>
      <c r="H963" s="54">
        <v>51.34</v>
      </c>
      <c r="I963" s="54"/>
      <c r="L963" s="37" t="s">
        <v>784</v>
      </c>
    </row>
    <row r="964" spans="1:12">
      <c r="A964" s="43" t="s">
        <v>2461</v>
      </c>
      <c r="B964" s="6" t="s">
        <v>2462</v>
      </c>
      <c r="C964" s="37" t="s">
        <v>14</v>
      </c>
      <c r="D964" s="37" t="s">
        <v>2392</v>
      </c>
      <c r="F964" s="38">
        <v>46218</v>
      </c>
      <c r="G964" s="59" t="s">
        <v>2167</v>
      </c>
      <c r="H964" s="54">
        <v>109.99</v>
      </c>
      <c r="I964" s="54"/>
      <c r="L964" s="37" t="s">
        <v>784</v>
      </c>
    </row>
    <row r="965" spans="1:12">
      <c r="A965" s="43" t="s">
        <v>2463</v>
      </c>
      <c r="B965" s="6" t="s">
        <v>2464</v>
      </c>
      <c r="C965" s="37" t="s">
        <v>14</v>
      </c>
      <c r="D965" s="37" t="s">
        <v>2392</v>
      </c>
      <c r="F965" s="38">
        <v>46218</v>
      </c>
      <c r="G965" s="59" t="s">
        <v>2167</v>
      </c>
      <c r="H965" s="54">
        <v>109.99</v>
      </c>
      <c r="I965" s="54"/>
      <c r="L965" s="37" t="s">
        <v>784</v>
      </c>
    </row>
    <row r="966" spans="1:12">
      <c r="A966" s="43" t="s">
        <v>2465</v>
      </c>
      <c r="B966" s="6" t="s">
        <v>2466</v>
      </c>
      <c r="C966" s="37" t="s">
        <v>14</v>
      </c>
      <c r="D966" s="37" t="s">
        <v>15</v>
      </c>
      <c r="E966" s="37" t="s">
        <v>16</v>
      </c>
      <c r="F966" s="38">
        <v>46212</v>
      </c>
      <c r="G966" s="59" t="s">
        <v>2167</v>
      </c>
      <c r="H966" s="54">
        <v>11.02</v>
      </c>
      <c r="I966" s="54"/>
      <c r="J966" s="61" t="s">
        <v>2221</v>
      </c>
      <c r="L966" s="37" t="s">
        <v>17</v>
      </c>
    </row>
    <row r="967" spans="1:12">
      <c r="A967" s="43" t="s">
        <v>2467</v>
      </c>
      <c r="B967" s="6" t="s">
        <v>2468</v>
      </c>
      <c r="C967" s="37" t="s">
        <v>14</v>
      </c>
      <c r="D967" s="37" t="s">
        <v>2392</v>
      </c>
      <c r="F967" s="38">
        <v>46218</v>
      </c>
      <c r="G967" s="59" t="s">
        <v>2167</v>
      </c>
      <c r="H967" s="54">
        <v>99.99</v>
      </c>
      <c r="I967" s="54"/>
      <c r="L967" s="37" t="s">
        <v>784</v>
      </c>
    </row>
    <row r="968" spans="1:12">
      <c r="A968" s="43" t="s">
        <v>2461</v>
      </c>
      <c r="B968" s="6" t="s">
        <v>2469</v>
      </c>
      <c r="C968" s="37" t="s">
        <v>14</v>
      </c>
      <c r="D968" s="37" t="s">
        <v>2392</v>
      </c>
      <c r="F968" s="38">
        <v>46218</v>
      </c>
      <c r="G968" s="59" t="s">
        <v>2167</v>
      </c>
      <c r="H968" s="54">
        <v>112.59</v>
      </c>
      <c r="I968" s="54"/>
      <c r="L968" s="37" t="s">
        <v>784</v>
      </c>
    </row>
    <row r="969" spans="1:12">
      <c r="A969" s="43" t="s">
        <v>402</v>
      </c>
      <c r="B969" s="6" t="s">
        <v>2470</v>
      </c>
      <c r="C969" s="37" t="s">
        <v>14</v>
      </c>
      <c r="D969" s="37" t="s">
        <v>2392</v>
      </c>
      <c r="F969" s="38">
        <v>46218</v>
      </c>
      <c r="G969" s="59" t="s">
        <v>2164</v>
      </c>
      <c r="H969" s="54">
        <v>109.99</v>
      </c>
      <c r="I969" s="54"/>
      <c r="L969" s="37" t="s">
        <v>784</v>
      </c>
    </row>
    <row r="970" spans="1:12">
      <c r="A970" s="43" t="s">
        <v>2471</v>
      </c>
      <c r="B970" s="6" t="s">
        <v>2472</v>
      </c>
      <c r="C970" s="37" t="s">
        <v>14</v>
      </c>
      <c r="D970" s="37" t="s">
        <v>2392</v>
      </c>
      <c r="F970" s="38">
        <v>46218</v>
      </c>
      <c r="G970" s="59" t="s">
        <v>2167</v>
      </c>
      <c r="H970" s="54">
        <v>110.4</v>
      </c>
      <c r="L970" s="37" t="s">
        <v>784</v>
      </c>
    </row>
    <row r="971" spans="1:12">
      <c r="A971" s="43" t="s">
        <v>2473</v>
      </c>
      <c r="B971" s="6" t="s">
        <v>2474</v>
      </c>
      <c r="C971" s="37" t="s">
        <v>14</v>
      </c>
      <c r="D971" s="37" t="s">
        <v>2392</v>
      </c>
      <c r="F971" s="38">
        <v>46218</v>
      </c>
      <c r="G971" s="59" t="s">
        <v>2167</v>
      </c>
      <c r="H971" s="54">
        <v>108.66</v>
      </c>
      <c r="L971" s="37" t="s">
        <v>784</v>
      </c>
    </row>
    <row r="972" spans="1:12">
      <c r="A972" s="43" t="s">
        <v>2475</v>
      </c>
      <c r="B972" s="6" t="s">
        <v>2476</v>
      </c>
      <c r="C972" s="37" t="s">
        <v>14</v>
      </c>
      <c r="D972" s="37" t="s">
        <v>2392</v>
      </c>
      <c r="F972" s="38">
        <v>46218</v>
      </c>
      <c r="G972" s="59" t="s">
        <v>2167</v>
      </c>
      <c r="H972" s="54">
        <v>50.24</v>
      </c>
      <c r="L972" s="37" t="s">
        <v>784</v>
      </c>
    </row>
    <row r="973" spans="1:12">
      <c r="A973" s="43" t="s">
        <v>2477</v>
      </c>
      <c r="B973" s="6" t="s">
        <v>2478</v>
      </c>
      <c r="C973" s="37" t="s">
        <v>14</v>
      </c>
      <c r="D973" s="37" t="s">
        <v>2392</v>
      </c>
      <c r="F973" s="38">
        <v>46218</v>
      </c>
      <c r="G973" s="59" t="s">
        <v>2167</v>
      </c>
      <c r="H973" s="54">
        <v>49.99</v>
      </c>
      <c r="J973" s="61"/>
      <c r="L973" s="37" t="s">
        <v>784</v>
      </c>
    </row>
    <row r="974" spans="1:12">
      <c r="A974" s="43" t="s">
        <v>2479</v>
      </c>
      <c r="B974" s="6" t="s">
        <v>2480</v>
      </c>
      <c r="C974" s="37" t="s">
        <v>14</v>
      </c>
      <c r="D974" s="37" t="s">
        <v>2392</v>
      </c>
      <c r="F974" s="38">
        <v>46218</v>
      </c>
      <c r="G974" s="59" t="s">
        <v>2167</v>
      </c>
      <c r="H974" s="54">
        <v>49.99</v>
      </c>
      <c r="J974" s="61"/>
      <c r="L974" s="37" t="s">
        <v>784</v>
      </c>
    </row>
    <row r="975" spans="1:12">
      <c r="A975" s="43" t="s">
        <v>2481</v>
      </c>
      <c r="B975" s="6" t="s">
        <v>2482</v>
      </c>
      <c r="C975" s="37" t="s">
        <v>14</v>
      </c>
      <c r="D975" s="37" t="s">
        <v>2392</v>
      </c>
      <c r="F975" s="38">
        <v>46218</v>
      </c>
      <c r="G975" s="59" t="s">
        <v>2167</v>
      </c>
      <c r="H975" s="54">
        <v>100.51</v>
      </c>
      <c r="L975" s="37" t="s">
        <v>784</v>
      </c>
    </row>
    <row r="976" spans="1:12">
      <c r="A976" t="s">
        <v>1031</v>
      </c>
      <c r="B976" t="s">
        <v>1032</v>
      </c>
      <c r="C976" s="37" t="s">
        <v>2064</v>
      </c>
      <c r="D976" s="37" t="s">
        <v>15</v>
      </c>
      <c r="E976" s="37" t="s">
        <v>20</v>
      </c>
      <c r="F976" s="38">
        <v>46212</v>
      </c>
      <c r="G976" s="39">
        <v>46127</v>
      </c>
      <c r="H976" s="54">
        <v>42.49</v>
      </c>
      <c r="I976" s="44">
        <v>14.07</v>
      </c>
      <c r="J976" s="39">
        <v>46216</v>
      </c>
      <c r="K976" s="36" t="s">
        <v>2483</v>
      </c>
      <c r="L976" s="37" t="s">
        <v>17</v>
      </c>
    </row>
    <row r="977" spans="1:12">
      <c r="A977" t="s">
        <v>556</v>
      </c>
      <c r="B977" t="s">
        <v>557</v>
      </c>
      <c r="C977" s="37" t="s">
        <v>2064</v>
      </c>
      <c r="D977" s="37" t="s">
        <v>15</v>
      </c>
      <c r="E977" s="37" t="s">
        <v>20</v>
      </c>
      <c r="F977" s="38">
        <v>46212</v>
      </c>
      <c r="G977" s="39">
        <v>46127</v>
      </c>
      <c r="H977" s="54">
        <v>169.98</v>
      </c>
      <c r="I977" s="44">
        <v>56.15</v>
      </c>
      <c r="J977" s="39">
        <v>46216</v>
      </c>
      <c r="K977" s="36" t="s">
        <v>2484</v>
      </c>
      <c r="L977" s="37" t="s">
        <v>17</v>
      </c>
    </row>
    <row r="978" spans="1:12">
      <c r="A978" t="s">
        <v>652</v>
      </c>
      <c r="B978" t="s">
        <v>653</v>
      </c>
      <c r="C978" s="37" t="s">
        <v>2064</v>
      </c>
      <c r="D978" s="37" t="s">
        <v>15</v>
      </c>
      <c r="E978" s="37" t="s">
        <v>20</v>
      </c>
      <c r="F978" s="38">
        <v>46212</v>
      </c>
      <c r="G978" s="39">
        <v>46127</v>
      </c>
      <c r="H978" s="54">
        <v>67.989999999999995</v>
      </c>
      <c r="I978" s="44">
        <v>22.42</v>
      </c>
      <c r="J978" s="39">
        <v>46216</v>
      </c>
      <c r="K978" s="36" t="s">
        <v>2485</v>
      </c>
      <c r="L978" s="37" t="s">
        <v>17</v>
      </c>
    </row>
    <row r="979" spans="1:12">
      <c r="A979" t="s">
        <v>592</v>
      </c>
      <c r="B979" t="s">
        <v>593</v>
      </c>
      <c r="C979" s="37" t="s">
        <v>2064</v>
      </c>
      <c r="D979" s="37" t="s">
        <v>15</v>
      </c>
      <c r="E979" s="37" t="s">
        <v>20</v>
      </c>
      <c r="F979" s="38">
        <v>46212</v>
      </c>
      <c r="G979" s="39">
        <v>46127</v>
      </c>
      <c r="H979" s="54">
        <v>86.75</v>
      </c>
      <c r="I979" s="44">
        <v>38.6</v>
      </c>
      <c r="J979" s="39">
        <v>46216</v>
      </c>
      <c r="K979" s="36" t="s">
        <v>2486</v>
      </c>
      <c r="L979" s="37" t="s">
        <v>17</v>
      </c>
    </row>
    <row r="980" spans="1:12">
      <c r="A980" t="s">
        <v>533</v>
      </c>
      <c r="B980" t="s">
        <v>534</v>
      </c>
      <c r="C980" s="37" t="s">
        <v>2064</v>
      </c>
      <c r="D980" s="37" t="s">
        <v>15</v>
      </c>
      <c r="E980" s="37" t="s">
        <v>20</v>
      </c>
      <c r="F980" s="38">
        <v>46212</v>
      </c>
      <c r="G980" s="39">
        <v>46127</v>
      </c>
      <c r="H980" s="54">
        <v>738.25</v>
      </c>
      <c r="I980" s="44">
        <v>301.05</v>
      </c>
      <c r="J980" s="39">
        <v>46216</v>
      </c>
      <c r="K980" s="36" t="s">
        <v>2487</v>
      </c>
      <c r="L980" s="37" t="s">
        <v>17</v>
      </c>
    </row>
    <row r="981" spans="1:12">
      <c r="A981" t="s">
        <v>655</v>
      </c>
      <c r="B981" t="s">
        <v>656</v>
      </c>
      <c r="C981" s="37" t="s">
        <v>2064</v>
      </c>
      <c r="D981" s="37" t="s">
        <v>15</v>
      </c>
      <c r="E981" s="37" t="s">
        <v>20</v>
      </c>
      <c r="F981" s="38">
        <v>46212</v>
      </c>
      <c r="G981" s="39">
        <v>46127</v>
      </c>
      <c r="H981" s="54">
        <v>67.989999999999995</v>
      </c>
      <c r="I981" s="44">
        <v>14.82</v>
      </c>
      <c r="J981" s="39">
        <v>46216</v>
      </c>
      <c r="K981" s="36" t="s">
        <v>2488</v>
      </c>
      <c r="L981" s="37" t="s">
        <v>17</v>
      </c>
    </row>
    <row r="982" spans="1:12">
      <c r="A982" t="s">
        <v>559</v>
      </c>
      <c r="B982" t="s">
        <v>560</v>
      </c>
      <c r="C982" s="37" t="s">
        <v>2064</v>
      </c>
      <c r="D982" s="37" t="s">
        <v>15</v>
      </c>
      <c r="E982" s="37" t="s">
        <v>20</v>
      </c>
      <c r="F982" s="38">
        <v>46212</v>
      </c>
      <c r="G982" s="39">
        <v>46127</v>
      </c>
      <c r="H982" s="54">
        <v>127.48</v>
      </c>
      <c r="I982" s="44">
        <v>27.15</v>
      </c>
      <c r="J982" s="39">
        <v>46216</v>
      </c>
      <c r="K982" s="36" t="s">
        <v>2489</v>
      </c>
      <c r="L982" s="37" t="s">
        <v>17</v>
      </c>
    </row>
    <row r="983" spans="1:12">
      <c r="A983" t="s">
        <v>601</v>
      </c>
      <c r="B983" t="s">
        <v>602</v>
      </c>
      <c r="C983" s="37" t="s">
        <v>2064</v>
      </c>
      <c r="D983" s="37" t="s">
        <v>15</v>
      </c>
      <c r="E983" s="37" t="s">
        <v>20</v>
      </c>
      <c r="F983" s="38">
        <v>46212</v>
      </c>
      <c r="G983" s="39">
        <v>46127</v>
      </c>
      <c r="H983" s="44">
        <v>88.45</v>
      </c>
      <c r="I983" s="44">
        <v>37.61</v>
      </c>
      <c r="J983" s="39">
        <v>46216</v>
      </c>
      <c r="K983" s="36" t="s">
        <v>2490</v>
      </c>
      <c r="L983" s="37" t="s">
        <v>17</v>
      </c>
    </row>
    <row r="984" spans="1:12">
      <c r="A984" t="s">
        <v>536</v>
      </c>
      <c r="B984" t="s">
        <v>537</v>
      </c>
      <c r="C984" s="37" t="s">
        <v>2064</v>
      </c>
      <c r="D984" s="37" t="s">
        <v>15</v>
      </c>
      <c r="E984" s="37" t="s">
        <v>20</v>
      </c>
      <c r="F984" s="38">
        <v>46212</v>
      </c>
      <c r="G984" s="39">
        <v>46127</v>
      </c>
      <c r="H984" s="54">
        <v>203.96</v>
      </c>
      <c r="I984" s="44">
        <v>44.19</v>
      </c>
      <c r="J984" s="39">
        <v>46216</v>
      </c>
      <c r="K984" s="36" t="s">
        <v>2491</v>
      </c>
      <c r="L984" s="37" t="s">
        <v>17</v>
      </c>
    </row>
    <row r="985" spans="1:12">
      <c r="A985" t="s">
        <v>2492</v>
      </c>
      <c r="B985" t="s">
        <v>2493</v>
      </c>
      <c r="C985" s="37" t="s">
        <v>2064</v>
      </c>
      <c r="D985" s="37" t="s">
        <v>15</v>
      </c>
      <c r="E985" s="37" t="s">
        <v>20</v>
      </c>
      <c r="F985" s="38">
        <v>46212</v>
      </c>
      <c r="G985" s="39">
        <v>46127</v>
      </c>
      <c r="H985" s="54">
        <v>151.30000000000001</v>
      </c>
      <c r="I985" s="44">
        <v>22.39</v>
      </c>
      <c r="J985" s="39">
        <v>46216</v>
      </c>
      <c r="K985" s="36" t="s">
        <v>2494</v>
      </c>
      <c r="L985" s="37" t="s">
        <v>17</v>
      </c>
    </row>
    <row r="986" spans="1:12">
      <c r="A986" t="s">
        <v>2495</v>
      </c>
      <c r="B986" t="s">
        <v>2496</v>
      </c>
      <c r="C986" s="37" t="s">
        <v>2064</v>
      </c>
      <c r="D986" s="37" t="s">
        <v>15</v>
      </c>
      <c r="E986" s="37" t="s">
        <v>16</v>
      </c>
      <c r="F986" s="38">
        <v>46216</v>
      </c>
      <c r="G986" s="17" t="s">
        <v>1872</v>
      </c>
      <c r="H986" s="54">
        <v>39.99</v>
      </c>
      <c r="I986" s="44">
        <v>5.98</v>
      </c>
      <c r="J986" s="39">
        <v>46221</v>
      </c>
      <c r="K986" s="36" t="s">
        <v>2497</v>
      </c>
      <c r="L986" s="37" t="s">
        <v>17</v>
      </c>
    </row>
    <row r="987" spans="1:12">
      <c r="A987" t="s">
        <v>2498</v>
      </c>
      <c r="B987" t="s">
        <v>2499</v>
      </c>
      <c r="C987" s="37" t="s">
        <v>2064</v>
      </c>
      <c r="D987" s="37" t="s">
        <v>15</v>
      </c>
      <c r="E987" s="37" t="s">
        <v>16</v>
      </c>
      <c r="F987" s="38">
        <v>46216</v>
      </c>
      <c r="G987" s="17" t="s">
        <v>1872</v>
      </c>
      <c r="H987" s="54">
        <v>39.99</v>
      </c>
      <c r="I987" s="44">
        <v>5.99</v>
      </c>
      <c r="J987" s="39">
        <v>46221</v>
      </c>
      <c r="K987" s="36" t="s">
        <v>2500</v>
      </c>
      <c r="L987" s="37" t="s">
        <v>17</v>
      </c>
    </row>
    <row r="988" spans="1:12">
      <c r="A988" t="s">
        <v>2501</v>
      </c>
      <c r="B988" t="s">
        <v>2502</v>
      </c>
      <c r="C988" s="37" t="s">
        <v>2064</v>
      </c>
      <c r="D988" s="37" t="s">
        <v>15</v>
      </c>
      <c r="E988" s="37" t="s">
        <v>20</v>
      </c>
      <c r="F988" s="38">
        <v>46213</v>
      </c>
      <c r="G988" s="17" t="s">
        <v>2503</v>
      </c>
      <c r="H988" s="54">
        <v>219.97</v>
      </c>
      <c r="I988" s="44">
        <v>65.67</v>
      </c>
      <c r="J988" s="39">
        <v>46221</v>
      </c>
      <c r="K988" s="36" t="s">
        <v>2504</v>
      </c>
      <c r="L988" s="37" t="s">
        <v>784</v>
      </c>
    </row>
    <row r="989" spans="1:12">
      <c r="A989" t="s">
        <v>562</v>
      </c>
      <c r="B989" t="s">
        <v>563</v>
      </c>
      <c r="C989" s="37" t="s">
        <v>2064</v>
      </c>
      <c r="D989" s="37" t="s">
        <v>15</v>
      </c>
      <c r="E989" s="37" t="s">
        <v>20</v>
      </c>
      <c r="F989" s="38">
        <v>46213</v>
      </c>
      <c r="G989" s="17" t="s">
        <v>1872</v>
      </c>
      <c r="H989" s="54">
        <v>104.72</v>
      </c>
      <c r="I989" s="44">
        <v>22.41</v>
      </c>
      <c r="J989" s="39">
        <v>46221</v>
      </c>
      <c r="K989" s="36" t="s">
        <v>2505</v>
      </c>
      <c r="L989" s="37" t="s">
        <v>784</v>
      </c>
    </row>
    <row r="990" spans="1:12">
      <c r="A990" t="s">
        <v>2506</v>
      </c>
      <c r="B990" t="s">
        <v>2507</v>
      </c>
      <c r="C990" s="37" t="s">
        <v>2064</v>
      </c>
      <c r="D990" s="37" t="s">
        <v>15</v>
      </c>
      <c r="E990" s="37" t="s">
        <v>20</v>
      </c>
      <c r="F990" s="38">
        <v>46213</v>
      </c>
      <c r="G990" s="17" t="s">
        <v>1872</v>
      </c>
      <c r="H990" s="54">
        <v>831.69</v>
      </c>
      <c r="I990" s="44">
        <v>128.04</v>
      </c>
      <c r="J990" s="39">
        <v>46221</v>
      </c>
      <c r="K990" s="36" t="s">
        <v>2508</v>
      </c>
      <c r="L990" s="37" t="s">
        <v>784</v>
      </c>
    </row>
    <row r="991" spans="1:12">
      <c r="A991" t="s">
        <v>658</v>
      </c>
      <c r="B991" t="s">
        <v>659</v>
      </c>
      <c r="C991" s="37" t="s">
        <v>2064</v>
      </c>
      <c r="D991" s="37" t="s">
        <v>15</v>
      </c>
      <c r="E991" s="37" t="s">
        <v>20</v>
      </c>
      <c r="F991" s="38">
        <v>46213</v>
      </c>
      <c r="G991" s="17" t="s">
        <v>1872</v>
      </c>
      <c r="H991" s="54">
        <v>95.68</v>
      </c>
      <c r="I991" s="44">
        <v>569.91</v>
      </c>
      <c r="J991" s="39">
        <v>46221</v>
      </c>
      <c r="K991" s="36" t="s">
        <v>2509</v>
      </c>
      <c r="L991" s="37" t="s">
        <v>784</v>
      </c>
    </row>
    <row r="992" spans="1:12">
      <c r="A992" t="s">
        <v>2510</v>
      </c>
      <c r="B992" t="s">
        <v>2511</v>
      </c>
      <c r="C992" s="37" t="s">
        <v>2064</v>
      </c>
      <c r="D992" s="37" t="s">
        <v>15</v>
      </c>
      <c r="E992" s="37" t="s">
        <v>20</v>
      </c>
      <c r="F992" s="38">
        <v>46213</v>
      </c>
      <c r="G992" s="17" t="s">
        <v>1872</v>
      </c>
      <c r="H992" s="54">
        <v>477.25</v>
      </c>
      <c r="I992" s="44">
        <v>135.63</v>
      </c>
      <c r="J992" s="39">
        <v>46221</v>
      </c>
      <c r="K992" s="36" t="s">
        <v>2512</v>
      </c>
      <c r="L992" s="37" t="s">
        <v>784</v>
      </c>
    </row>
    <row r="993" spans="1:12">
      <c r="A993" t="s">
        <v>2513</v>
      </c>
      <c r="B993" t="s">
        <v>2514</v>
      </c>
      <c r="C993" s="37" t="s">
        <v>2064</v>
      </c>
      <c r="D993" s="37" t="s">
        <v>15</v>
      </c>
      <c r="E993" s="37" t="s">
        <v>20</v>
      </c>
      <c r="F993" s="38">
        <v>46213</v>
      </c>
      <c r="G993" s="17" t="s">
        <v>1872</v>
      </c>
      <c r="H993" s="54">
        <v>69.989999999999995</v>
      </c>
      <c r="I993" s="44">
        <v>29.24</v>
      </c>
      <c r="J993" s="39">
        <v>46221</v>
      </c>
      <c r="K993" s="36" t="s">
        <v>2515</v>
      </c>
      <c r="L993" s="37" t="s">
        <v>784</v>
      </c>
    </row>
    <row r="994" spans="1:12">
      <c r="A994" t="s">
        <v>539</v>
      </c>
      <c r="B994" t="s">
        <v>540</v>
      </c>
      <c r="C994" s="37" t="s">
        <v>2064</v>
      </c>
      <c r="D994" s="37" t="s">
        <v>15</v>
      </c>
      <c r="E994" s="37" t="s">
        <v>20</v>
      </c>
      <c r="F994" s="38">
        <v>46213</v>
      </c>
      <c r="G994" s="17" t="s">
        <v>1872</v>
      </c>
      <c r="H994" s="54">
        <v>91.52</v>
      </c>
      <c r="I994" s="44">
        <v>121.56</v>
      </c>
      <c r="J994" s="39">
        <v>46221</v>
      </c>
      <c r="K994" s="36" t="s">
        <v>2516</v>
      </c>
      <c r="L994" s="37" t="s">
        <v>784</v>
      </c>
    </row>
    <row r="995" spans="1:12">
      <c r="A995" t="s">
        <v>2517</v>
      </c>
      <c r="B995" t="s">
        <v>2518</v>
      </c>
      <c r="C995" s="37" t="s">
        <v>2064</v>
      </c>
      <c r="D995" s="37" t="s">
        <v>15</v>
      </c>
      <c r="E995" s="37" t="s">
        <v>20</v>
      </c>
      <c r="F995" s="38">
        <v>46213</v>
      </c>
      <c r="G995" s="17" t="s">
        <v>1872</v>
      </c>
      <c r="H995" s="54">
        <v>110.65</v>
      </c>
      <c r="I995" s="44">
        <v>31.69</v>
      </c>
      <c r="J995" s="39">
        <v>46221</v>
      </c>
      <c r="K995" s="36" t="s">
        <v>2519</v>
      </c>
      <c r="L995" s="37" t="s">
        <v>784</v>
      </c>
    </row>
    <row r="996" spans="1:12">
      <c r="A996" t="s">
        <v>2520</v>
      </c>
      <c r="B996" t="s">
        <v>2521</v>
      </c>
      <c r="C996" s="37" t="s">
        <v>2064</v>
      </c>
      <c r="D996" s="37" t="s">
        <v>15</v>
      </c>
      <c r="E996" s="37" t="s">
        <v>20</v>
      </c>
      <c r="F996" s="38">
        <v>46216</v>
      </c>
      <c r="G996" s="39">
        <v>46132</v>
      </c>
      <c r="H996" s="54">
        <v>57.99</v>
      </c>
      <c r="I996" s="44">
        <v>25.95</v>
      </c>
      <c r="J996" s="39">
        <v>46222</v>
      </c>
      <c r="K996" s="36" t="s">
        <v>2522</v>
      </c>
      <c r="L996" s="37" t="s">
        <v>784</v>
      </c>
    </row>
    <row r="997" spans="1:12">
      <c r="A997" t="s">
        <v>2523</v>
      </c>
      <c r="B997" t="s">
        <v>2524</v>
      </c>
      <c r="C997" s="37" t="s">
        <v>2064</v>
      </c>
      <c r="D997" s="37" t="s">
        <v>15</v>
      </c>
      <c r="E997" s="37" t="s">
        <v>20</v>
      </c>
      <c r="F997" s="38">
        <v>46216</v>
      </c>
      <c r="G997" s="39">
        <v>46132</v>
      </c>
      <c r="H997" s="54">
        <v>64.180000000000007</v>
      </c>
      <c r="I997" s="44">
        <v>26.89</v>
      </c>
      <c r="J997" s="39">
        <v>46222</v>
      </c>
      <c r="K997" s="36" t="s">
        <v>2525</v>
      </c>
      <c r="L997" s="37" t="s">
        <v>784</v>
      </c>
    </row>
    <row r="998" spans="1:12">
      <c r="A998" t="s">
        <v>2526</v>
      </c>
      <c r="B998" t="s">
        <v>2527</v>
      </c>
      <c r="C998" s="37" t="s">
        <v>2064</v>
      </c>
      <c r="D998" s="37" t="s">
        <v>15</v>
      </c>
      <c r="E998" s="37" t="s">
        <v>20</v>
      </c>
      <c r="F998" s="38">
        <v>46216</v>
      </c>
      <c r="G998" s="39">
        <v>46132</v>
      </c>
      <c r="H998" s="54">
        <v>438.69</v>
      </c>
      <c r="I998" s="44">
        <v>64.38</v>
      </c>
      <c r="J998" s="39">
        <v>46222</v>
      </c>
      <c r="K998" s="36" t="s">
        <v>2528</v>
      </c>
      <c r="L998" s="37" t="s">
        <v>784</v>
      </c>
    </row>
    <row r="999" spans="1:12">
      <c r="A999" t="s">
        <v>2529</v>
      </c>
      <c r="B999" t="s">
        <v>2530</v>
      </c>
      <c r="C999" s="37" t="s">
        <v>2064</v>
      </c>
      <c r="D999" s="37" t="s">
        <v>15</v>
      </c>
      <c r="E999" s="37" t="s">
        <v>20</v>
      </c>
      <c r="F999" s="38">
        <v>46216</v>
      </c>
      <c r="G999" s="39">
        <v>46132</v>
      </c>
      <c r="H999" s="54">
        <v>79.7</v>
      </c>
      <c r="I999" s="44">
        <v>26.52</v>
      </c>
      <c r="J999" s="39">
        <v>46222</v>
      </c>
      <c r="K999" s="36" t="s">
        <v>2531</v>
      </c>
      <c r="L999" s="37" t="s">
        <v>784</v>
      </c>
    </row>
    <row r="1000" spans="1:12">
      <c r="A1000" t="s">
        <v>1188</v>
      </c>
      <c r="B1000" t="s">
        <v>1189</v>
      </c>
      <c r="C1000" s="37" t="s">
        <v>2064</v>
      </c>
      <c r="D1000" s="37" t="s">
        <v>15</v>
      </c>
      <c r="E1000" s="37" t="s">
        <v>20</v>
      </c>
      <c r="F1000" s="38">
        <v>46216</v>
      </c>
      <c r="G1000" s="39">
        <v>46132</v>
      </c>
      <c r="H1000" s="54">
        <v>59.99</v>
      </c>
      <c r="I1000" s="44">
        <v>10.82</v>
      </c>
      <c r="J1000" s="39">
        <v>46222</v>
      </c>
      <c r="K1000" s="36" t="s">
        <v>2532</v>
      </c>
      <c r="L1000" s="37" t="s">
        <v>784</v>
      </c>
    </row>
    <row r="1001" spans="1:12">
      <c r="A1001" t="s">
        <v>2533</v>
      </c>
      <c r="B1001" t="s">
        <v>2534</v>
      </c>
      <c r="C1001" s="37" t="s">
        <v>2064</v>
      </c>
      <c r="D1001" s="37" t="s">
        <v>15</v>
      </c>
      <c r="E1001" s="37" t="s">
        <v>20</v>
      </c>
      <c r="F1001" s="38">
        <v>46216</v>
      </c>
      <c r="G1001" s="39">
        <v>46132</v>
      </c>
      <c r="H1001" s="54">
        <v>99.99</v>
      </c>
      <c r="I1001" s="44">
        <v>29.66</v>
      </c>
      <c r="J1001" s="39">
        <v>46222</v>
      </c>
      <c r="K1001" s="36" t="s">
        <v>2535</v>
      </c>
      <c r="L1001" s="37" t="s">
        <v>784</v>
      </c>
    </row>
    <row r="1002" spans="1:12">
      <c r="A1002" t="s">
        <v>2536</v>
      </c>
      <c r="B1002" t="s">
        <v>2537</v>
      </c>
      <c r="C1002" s="37" t="s">
        <v>2064</v>
      </c>
      <c r="D1002" s="37" t="s">
        <v>15</v>
      </c>
      <c r="E1002" s="37" t="s">
        <v>20</v>
      </c>
      <c r="F1002" s="38">
        <v>46216</v>
      </c>
      <c r="G1002" s="39">
        <v>46132</v>
      </c>
      <c r="H1002" s="54">
        <v>70.900000000000006</v>
      </c>
      <c r="I1002" s="44">
        <v>20.86</v>
      </c>
      <c r="J1002" s="39">
        <v>46222</v>
      </c>
      <c r="K1002" s="36" t="s">
        <v>2538</v>
      </c>
      <c r="L1002" s="37" t="s">
        <v>784</v>
      </c>
    </row>
    <row r="1003" spans="1:12">
      <c r="A1003" t="s">
        <v>2539</v>
      </c>
      <c r="B1003" t="s">
        <v>2540</v>
      </c>
      <c r="C1003" s="37" t="s">
        <v>2064</v>
      </c>
      <c r="D1003" s="37" t="s">
        <v>15</v>
      </c>
      <c r="E1003" s="37" t="s">
        <v>20</v>
      </c>
      <c r="F1003" s="38">
        <v>46216</v>
      </c>
      <c r="G1003" s="39">
        <v>46132</v>
      </c>
      <c r="H1003" s="54">
        <v>150.77000000000001</v>
      </c>
      <c r="I1003" s="44">
        <v>44.34</v>
      </c>
      <c r="J1003" s="39">
        <v>46222</v>
      </c>
      <c r="K1003" s="36" t="s">
        <v>2541</v>
      </c>
      <c r="L1003" s="37" t="s">
        <v>784</v>
      </c>
    </row>
    <row r="1004" spans="1:12">
      <c r="A1004" t="s">
        <v>2542</v>
      </c>
      <c r="B1004" t="s">
        <v>2543</v>
      </c>
      <c r="C1004" s="37" t="s">
        <v>2064</v>
      </c>
      <c r="D1004" s="37" t="s">
        <v>15</v>
      </c>
      <c r="E1004" s="37" t="s">
        <v>20</v>
      </c>
      <c r="F1004" s="38">
        <v>46216</v>
      </c>
      <c r="G1004" s="39">
        <v>46132</v>
      </c>
      <c r="H1004" s="44">
        <v>99.98</v>
      </c>
      <c r="I1004" s="44">
        <v>30.25</v>
      </c>
      <c r="J1004" s="39">
        <v>46222</v>
      </c>
      <c r="K1004" s="36" t="s">
        <v>2544</v>
      </c>
      <c r="L1004" s="37" t="s">
        <v>784</v>
      </c>
    </row>
    <row r="1005" spans="1:12">
      <c r="A1005" t="s">
        <v>1078</v>
      </c>
      <c r="B1005" t="s">
        <v>1079</v>
      </c>
      <c r="C1005" s="37" t="s">
        <v>2064</v>
      </c>
      <c r="D1005" s="37" t="s">
        <v>15</v>
      </c>
      <c r="E1005" s="37" t="s">
        <v>20</v>
      </c>
      <c r="F1005" s="38">
        <v>46216</v>
      </c>
      <c r="G1005" s="39">
        <v>46132</v>
      </c>
      <c r="H1005" s="44">
        <v>42.49</v>
      </c>
      <c r="I1005" s="44">
        <v>14.13</v>
      </c>
      <c r="J1005" s="39">
        <v>46222</v>
      </c>
      <c r="K1005" s="36" t="s">
        <v>2545</v>
      </c>
      <c r="L1005" s="37" t="s">
        <v>784</v>
      </c>
    </row>
    <row r="1006" spans="1:12">
      <c r="A1006" t="s">
        <v>2546</v>
      </c>
      <c r="B1006" t="s">
        <v>2547</v>
      </c>
      <c r="C1006" s="37" t="s">
        <v>2064</v>
      </c>
      <c r="D1006" s="37" t="s">
        <v>783</v>
      </c>
      <c r="E1006" s="37" t="s">
        <v>20</v>
      </c>
      <c r="F1006" s="38">
        <v>46217</v>
      </c>
      <c r="G1006" s="39">
        <v>46132</v>
      </c>
      <c r="L1006" s="37" t="s">
        <v>784</v>
      </c>
    </row>
    <row r="1007" spans="1:12">
      <c r="A1007" t="s">
        <v>2548</v>
      </c>
      <c r="B1007" t="s">
        <v>2549</v>
      </c>
      <c r="C1007" s="37" t="s">
        <v>2064</v>
      </c>
      <c r="D1007" s="37" t="s">
        <v>783</v>
      </c>
      <c r="E1007" s="37" t="s">
        <v>20</v>
      </c>
      <c r="F1007" s="38">
        <v>46217</v>
      </c>
      <c r="G1007" s="39">
        <v>46132</v>
      </c>
      <c r="L1007" s="37" t="s">
        <v>784</v>
      </c>
    </row>
    <row r="1008" spans="1:12">
      <c r="A1008" t="s">
        <v>2550</v>
      </c>
      <c r="B1008" t="s">
        <v>2551</v>
      </c>
      <c r="C1008" s="37" t="s">
        <v>2064</v>
      </c>
      <c r="D1008" s="37" t="s">
        <v>783</v>
      </c>
      <c r="E1008" s="37" t="s">
        <v>20</v>
      </c>
      <c r="F1008" s="38">
        <v>46217</v>
      </c>
      <c r="G1008" s="39">
        <v>46132</v>
      </c>
      <c r="L1008" s="37" t="s">
        <v>784</v>
      </c>
    </row>
    <row r="1009" spans="1:12">
      <c r="A1009" t="s">
        <v>1042</v>
      </c>
      <c r="B1009" t="s">
        <v>1043</v>
      </c>
      <c r="C1009" s="37" t="s">
        <v>2064</v>
      </c>
      <c r="D1009" s="37" t="s">
        <v>783</v>
      </c>
      <c r="E1009" s="37" t="s">
        <v>20</v>
      </c>
      <c r="F1009" s="38">
        <v>46217</v>
      </c>
      <c r="G1009" s="39">
        <v>46132</v>
      </c>
      <c r="L1009" s="37" t="s">
        <v>784</v>
      </c>
    </row>
    <row r="1010" spans="1:12">
      <c r="A1010" t="s">
        <v>2552</v>
      </c>
      <c r="B1010" t="s">
        <v>2553</v>
      </c>
      <c r="C1010" s="37" t="s">
        <v>2064</v>
      </c>
      <c r="D1010" s="37" t="s">
        <v>783</v>
      </c>
      <c r="E1010" s="37" t="s">
        <v>20</v>
      </c>
      <c r="F1010" s="38">
        <v>46217</v>
      </c>
      <c r="G1010" s="39">
        <v>46132</v>
      </c>
      <c r="L1010" s="37" t="s">
        <v>784</v>
      </c>
    </row>
    <row r="1011" spans="1:12">
      <c r="A1011" t="s">
        <v>2554</v>
      </c>
      <c r="B1011" t="s">
        <v>2555</v>
      </c>
      <c r="C1011" s="37" t="s">
        <v>2064</v>
      </c>
      <c r="D1011" s="37" t="s">
        <v>783</v>
      </c>
      <c r="E1011" s="37" t="s">
        <v>20</v>
      </c>
      <c r="F1011" s="38">
        <v>46217</v>
      </c>
      <c r="G1011" s="39">
        <v>46132</v>
      </c>
      <c r="L1011" s="37" t="s">
        <v>784</v>
      </c>
    </row>
    <row r="1012" spans="1:12">
      <c r="A1012" t="s">
        <v>2556</v>
      </c>
      <c r="B1012" t="s">
        <v>2557</v>
      </c>
      <c r="C1012" s="37" t="s">
        <v>2064</v>
      </c>
      <c r="D1012" s="37" t="s">
        <v>783</v>
      </c>
      <c r="E1012" s="37" t="s">
        <v>20</v>
      </c>
      <c r="F1012" s="38">
        <v>46217</v>
      </c>
      <c r="G1012" s="39">
        <v>46132</v>
      </c>
      <c r="L1012" s="37" t="s">
        <v>784</v>
      </c>
    </row>
    <row r="1013" spans="1:12">
      <c r="A1013" t="s">
        <v>2558</v>
      </c>
      <c r="B1013" t="s">
        <v>2559</v>
      </c>
      <c r="C1013" s="37" t="s">
        <v>2064</v>
      </c>
      <c r="D1013" s="37" t="s">
        <v>783</v>
      </c>
      <c r="E1013" s="37" t="s">
        <v>20</v>
      </c>
      <c r="F1013" s="38">
        <v>46217</v>
      </c>
      <c r="G1013" s="39">
        <v>46132</v>
      </c>
      <c r="L1013" s="37" t="s">
        <v>784</v>
      </c>
    </row>
    <row r="1014" spans="1:12">
      <c r="A1014" t="s">
        <v>1081</v>
      </c>
      <c r="B1014" t="s">
        <v>1082</v>
      </c>
      <c r="C1014" s="37" t="s">
        <v>2064</v>
      </c>
      <c r="D1014" s="37" t="s">
        <v>783</v>
      </c>
      <c r="E1014" s="37" t="s">
        <v>20</v>
      </c>
      <c r="F1014" s="38">
        <v>46217</v>
      </c>
      <c r="G1014" s="39">
        <v>46132</v>
      </c>
      <c r="L1014" s="37" t="s">
        <v>784</v>
      </c>
    </row>
    <row r="1015" spans="1:12">
      <c r="A1015" t="s">
        <v>1045</v>
      </c>
      <c r="B1015" t="s">
        <v>1046</v>
      </c>
      <c r="C1015" s="37" t="s">
        <v>2064</v>
      </c>
      <c r="D1015" s="37" t="s">
        <v>783</v>
      </c>
      <c r="E1015" s="37" t="s">
        <v>20</v>
      </c>
      <c r="F1015" s="38">
        <v>46217</v>
      </c>
      <c r="G1015" s="39">
        <v>46132</v>
      </c>
      <c r="L1015" s="37" t="s">
        <v>784</v>
      </c>
    </row>
    <row r="1016" spans="1:12">
      <c r="A1016" t="s">
        <v>2560</v>
      </c>
      <c r="B1016" t="s">
        <v>2561</v>
      </c>
      <c r="C1016" s="37" t="s">
        <v>2064</v>
      </c>
      <c r="D1016" s="37" t="s">
        <v>2392</v>
      </c>
      <c r="E1016" s="37" t="s">
        <v>20</v>
      </c>
      <c r="F1016" s="38">
        <v>46218</v>
      </c>
      <c r="G1016" s="39">
        <v>46132</v>
      </c>
      <c r="L1016" s="37" t="s">
        <v>784</v>
      </c>
    </row>
    <row r="1017" spans="1:12">
      <c r="A1017" t="s">
        <v>2562</v>
      </c>
      <c r="B1017" t="s">
        <v>2563</v>
      </c>
      <c r="C1017" s="37" t="s">
        <v>2064</v>
      </c>
      <c r="D1017" s="37" t="s">
        <v>2392</v>
      </c>
      <c r="E1017" s="37" t="s">
        <v>20</v>
      </c>
      <c r="F1017" s="38">
        <v>46218</v>
      </c>
      <c r="G1017" s="39">
        <v>46132</v>
      </c>
      <c r="L1017" s="37" t="s">
        <v>784</v>
      </c>
    </row>
    <row r="1018" spans="1:12">
      <c r="A1018" t="s">
        <v>1087</v>
      </c>
      <c r="B1018" t="s">
        <v>1088</v>
      </c>
      <c r="C1018" s="37" t="s">
        <v>2064</v>
      </c>
      <c r="D1018" s="37" t="s">
        <v>2392</v>
      </c>
      <c r="E1018" s="37" t="s">
        <v>20</v>
      </c>
      <c r="F1018" s="38">
        <v>46218</v>
      </c>
      <c r="G1018" s="39">
        <v>46132</v>
      </c>
      <c r="L1018" s="37" t="s">
        <v>784</v>
      </c>
    </row>
    <row r="1019" spans="1:12">
      <c r="A1019" t="s">
        <v>2564</v>
      </c>
      <c r="B1019" t="s">
        <v>2565</v>
      </c>
      <c r="C1019" s="37" t="s">
        <v>2064</v>
      </c>
      <c r="D1019" s="37" t="s">
        <v>2392</v>
      </c>
      <c r="E1019" s="37" t="s">
        <v>20</v>
      </c>
      <c r="F1019" s="38">
        <v>46218</v>
      </c>
      <c r="G1019" s="39">
        <v>46132</v>
      </c>
      <c r="L1019" s="37" t="s">
        <v>784</v>
      </c>
    </row>
    <row r="1020" spans="1:12">
      <c r="A1020" t="s">
        <v>1048</v>
      </c>
      <c r="B1020" t="s">
        <v>1049</v>
      </c>
      <c r="C1020" s="37" t="s">
        <v>2064</v>
      </c>
      <c r="D1020" s="37" t="s">
        <v>2392</v>
      </c>
      <c r="E1020" s="37" t="s">
        <v>20</v>
      </c>
      <c r="F1020" s="38">
        <v>46218</v>
      </c>
      <c r="G1020" s="39">
        <v>46132</v>
      </c>
      <c r="L1020" s="37" t="s">
        <v>784</v>
      </c>
    </row>
    <row r="1021" spans="1:12">
      <c r="A1021" t="s">
        <v>1034</v>
      </c>
      <c r="B1021" t="s">
        <v>1035</v>
      </c>
      <c r="C1021" s="37" t="s">
        <v>2064</v>
      </c>
      <c r="D1021" s="37" t="s">
        <v>2392</v>
      </c>
      <c r="E1021" s="37" t="s">
        <v>20</v>
      </c>
      <c r="F1021" s="38">
        <v>46218</v>
      </c>
      <c r="G1021" s="39">
        <v>46132</v>
      </c>
      <c r="L1021" s="37" t="s">
        <v>784</v>
      </c>
    </row>
    <row r="1022" spans="1:12">
      <c r="A1022" t="s">
        <v>2566</v>
      </c>
      <c r="B1022" t="s">
        <v>2567</v>
      </c>
      <c r="C1022" s="37" t="s">
        <v>2064</v>
      </c>
      <c r="D1022" s="37" t="s">
        <v>2392</v>
      </c>
      <c r="E1022" s="37" t="s">
        <v>20</v>
      </c>
      <c r="F1022" s="38">
        <v>46218</v>
      </c>
      <c r="G1022" s="39">
        <v>46132</v>
      </c>
      <c r="L1022" s="37" t="s">
        <v>784</v>
      </c>
    </row>
    <row r="1023" spans="1:12">
      <c r="A1023" t="s">
        <v>1051</v>
      </c>
      <c r="B1023" t="s">
        <v>1052</v>
      </c>
      <c r="C1023" s="37" t="s">
        <v>2064</v>
      </c>
      <c r="D1023" s="37" t="s">
        <v>2392</v>
      </c>
      <c r="E1023" s="37" t="s">
        <v>20</v>
      </c>
      <c r="F1023" s="38">
        <v>46218</v>
      </c>
      <c r="G1023" s="39">
        <v>46132</v>
      </c>
      <c r="L1023" s="37" t="s">
        <v>784</v>
      </c>
    </row>
    <row r="1024" spans="1:12">
      <c r="A1024" t="s">
        <v>2568</v>
      </c>
      <c r="B1024" t="s">
        <v>2569</v>
      </c>
      <c r="C1024" s="37" t="s">
        <v>2064</v>
      </c>
      <c r="D1024" s="37" t="s">
        <v>2392</v>
      </c>
      <c r="E1024" s="37" t="s">
        <v>20</v>
      </c>
      <c r="F1024" s="38">
        <v>46218</v>
      </c>
      <c r="G1024" s="39">
        <v>46132</v>
      </c>
      <c r="L1024" s="37" t="s">
        <v>784</v>
      </c>
    </row>
    <row r="1025" spans="1:12">
      <c r="A1025" t="s">
        <v>2570</v>
      </c>
      <c r="B1025" t="s">
        <v>2571</v>
      </c>
      <c r="C1025" s="37" t="s">
        <v>2064</v>
      </c>
      <c r="D1025" s="37" t="s">
        <v>2392</v>
      </c>
      <c r="E1025" s="37" t="s">
        <v>20</v>
      </c>
      <c r="F1025" s="38">
        <v>46218</v>
      </c>
      <c r="G1025" s="39">
        <v>46132</v>
      </c>
      <c r="L1025" s="37" t="s">
        <v>784</v>
      </c>
    </row>
  </sheetData>
  <autoFilter ref="A1:M1025" xr:uid="{848DEA58-1D96-4B5C-94ED-298820EF43D3}"/>
  <dataValidations count="2">
    <dataValidation type="list" allowBlank="1" showInputMessage="1" showErrorMessage="1" sqref="D2:D1048110" xr:uid="{0363010A-0BB3-4B09-9000-53F9846D54F0}">
      <formula1>"Concluído,Enviado no grupo,Não enviado"</formula1>
    </dataValidation>
    <dataValidation type="list" allowBlank="1" showInputMessage="1" showErrorMessage="1" sqref="L1:L1048110" xr:uid="{60F1111F-03B2-4096-A79E-80C246B11F8D}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FC67C-0D43-463A-90A8-AFF1029279C9}">
  <dimension ref="A1:M1043"/>
  <sheetViews>
    <sheetView workbookViewId="0">
      <pane ySplit="1" topLeftCell="A29" activePane="bottomLeft" state="frozen"/>
      <selection pane="bottomLeft" activeCell="A41" sqref="A41"/>
    </sheetView>
  </sheetViews>
  <sheetFormatPr defaultRowHeight="15"/>
  <cols>
    <col min="1" max="1" width="18" style="22" bestFit="1" customWidth="1"/>
    <col min="2" max="2" width="15.5703125" style="21" bestFit="1" customWidth="1"/>
    <col min="3" max="3" width="14.7109375" style="2" bestFit="1" customWidth="1"/>
    <col min="4" max="4" width="16.42578125" style="2" bestFit="1" customWidth="1"/>
    <col min="5" max="5" width="17" style="2" bestFit="1" customWidth="1"/>
    <col min="6" max="6" width="11.140625" style="1" bestFit="1" customWidth="1"/>
    <col min="7" max="7" width="21" style="1" bestFit="1" customWidth="1"/>
    <col min="8" max="8" width="21.85546875" style="3" bestFit="1" customWidth="1"/>
    <col min="9" max="9" width="22.5703125" style="3" bestFit="1" customWidth="1"/>
    <col min="10" max="10" width="20.42578125" style="17" bestFit="1" customWidth="1"/>
    <col min="11" max="11" width="20.7109375" customWidth="1"/>
    <col min="12" max="12" width="25.85546875" style="2" bestFit="1" customWidth="1"/>
    <col min="13" max="13" width="12.140625" bestFit="1" customWidth="1"/>
  </cols>
  <sheetData>
    <row r="1" spans="1:12">
      <c r="A1" s="13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0" t="s">
        <v>6</v>
      </c>
      <c r="H1" s="15" t="s">
        <v>7</v>
      </c>
      <c r="I1" s="12" t="s">
        <v>8</v>
      </c>
      <c r="J1" s="20" t="s">
        <v>9</v>
      </c>
      <c r="K1" s="7" t="s">
        <v>10</v>
      </c>
      <c r="L1" s="11" t="s">
        <v>11</v>
      </c>
    </row>
    <row r="2" spans="1:12">
      <c r="A2" s="2" t="s">
        <v>2572</v>
      </c>
      <c r="B2" s="2" t="s">
        <v>2573</v>
      </c>
      <c r="C2" s="2" t="s">
        <v>14</v>
      </c>
      <c r="D2" s="2" t="s">
        <v>15</v>
      </c>
      <c r="E2" s="2" t="s">
        <v>2574</v>
      </c>
      <c r="F2" s="9">
        <v>46085</v>
      </c>
      <c r="G2" s="9">
        <v>46060</v>
      </c>
      <c r="H2" s="8">
        <v>99.99</v>
      </c>
      <c r="I2" s="8">
        <v>20.56</v>
      </c>
      <c r="J2" s="9">
        <v>46090</v>
      </c>
      <c r="K2" s="2" t="s">
        <v>2575</v>
      </c>
      <c r="L2" s="2" t="s">
        <v>17</v>
      </c>
    </row>
    <row r="3" spans="1:12">
      <c r="A3" s="2" t="s">
        <v>2576</v>
      </c>
      <c r="B3" s="2" t="s">
        <v>2577</v>
      </c>
      <c r="C3" s="2" t="s">
        <v>14</v>
      </c>
      <c r="D3" s="2" t="s">
        <v>15</v>
      </c>
      <c r="E3" s="2" t="s">
        <v>2574</v>
      </c>
      <c r="F3" s="9">
        <v>46086</v>
      </c>
      <c r="G3" s="9">
        <v>46060</v>
      </c>
      <c r="H3" s="8">
        <v>109.99</v>
      </c>
      <c r="I3" s="8">
        <v>29.33</v>
      </c>
      <c r="J3" s="9">
        <v>46089</v>
      </c>
      <c r="K3" s="2" t="s">
        <v>2578</v>
      </c>
      <c r="L3" s="2" t="s">
        <v>17</v>
      </c>
    </row>
    <row r="4" spans="1:12">
      <c r="A4" s="2" t="s">
        <v>2579</v>
      </c>
      <c r="B4" s="2" t="s">
        <v>2580</v>
      </c>
      <c r="C4" s="2" t="s">
        <v>14</v>
      </c>
      <c r="D4" s="2" t="s">
        <v>15</v>
      </c>
      <c r="E4" s="2" t="s">
        <v>55</v>
      </c>
      <c r="F4" s="9">
        <v>46086</v>
      </c>
      <c r="G4" s="9">
        <v>46060</v>
      </c>
      <c r="H4" s="8">
        <v>119.99</v>
      </c>
      <c r="I4" s="8">
        <v>24.81</v>
      </c>
      <c r="J4" s="9">
        <v>46091</v>
      </c>
      <c r="K4" s="2" t="s">
        <v>2581</v>
      </c>
      <c r="L4" s="2" t="s">
        <v>17</v>
      </c>
    </row>
    <row r="5" spans="1:12">
      <c r="A5" s="2" t="s">
        <v>2582</v>
      </c>
      <c r="B5" s="2" t="s">
        <v>2583</v>
      </c>
      <c r="C5" s="2" t="s">
        <v>14</v>
      </c>
      <c r="D5" s="2" t="s">
        <v>15</v>
      </c>
      <c r="E5" s="2" t="s">
        <v>2584</v>
      </c>
      <c r="F5" s="9">
        <v>46086</v>
      </c>
      <c r="G5" s="9">
        <v>46060</v>
      </c>
      <c r="H5" s="8">
        <v>112.99</v>
      </c>
      <c r="I5" s="8">
        <v>17.07</v>
      </c>
      <c r="J5" s="9">
        <v>46089</v>
      </c>
      <c r="K5" s="2" t="s">
        <v>2585</v>
      </c>
      <c r="L5" s="2" t="s">
        <v>17</v>
      </c>
    </row>
    <row r="6" spans="1:12">
      <c r="A6" s="2" t="s">
        <v>2586</v>
      </c>
      <c r="B6" s="2" t="s">
        <v>2587</v>
      </c>
      <c r="C6" s="2" t="s">
        <v>14</v>
      </c>
      <c r="D6" s="2" t="s">
        <v>15</v>
      </c>
      <c r="E6" s="2" t="s">
        <v>16</v>
      </c>
      <c r="F6" s="9">
        <v>46085</v>
      </c>
      <c r="G6" s="9">
        <v>46060</v>
      </c>
      <c r="H6" s="8">
        <v>31.65</v>
      </c>
      <c r="I6" s="8">
        <v>31.65</v>
      </c>
      <c r="J6" s="9"/>
      <c r="K6" s="23" t="s">
        <v>2588</v>
      </c>
      <c r="L6" s="2" t="s">
        <v>17</v>
      </c>
    </row>
    <row r="7" spans="1:12">
      <c r="A7" s="2" t="s">
        <v>2589</v>
      </c>
      <c r="B7" s="2" t="s">
        <v>2590</v>
      </c>
      <c r="C7" s="2" t="s">
        <v>14</v>
      </c>
      <c r="D7" s="2" t="s">
        <v>15</v>
      </c>
      <c r="E7" s="2" t="s">
        <v>2591</v>
      </c>
      <c r="F7" s="9">
        <v>46086</v>
      </c>
      <c r="G7" s="9">
        <v>46060</v>
      </c>
      <c r="H7" s="8">
        <v>109.99</v>
      </c>
      <c r="I7" s="8">
        <v>15.84</v>
      </c>
      <c r="J7" s="9">
        <v>46091</v>
      </c>
      <c r="K7" s="2" t="s">
        <v>2592</v>
      </c>
      <c r="L7" s="2" t="s">
        <v>17</v>
      </c>
    </row>
    <row r="8" spans="1:12">
      <c r="A8" s="2" t="s">
        <v>2593</v>
      </c>
      <c r="B8" s="2" t="s">
        <v>2594</v>
      </c>
      <c r="C8" s="2" t="s">
        <v>14</v>
      </c>
      <c r="D8" s="2" t="s">
        <v>15</v>
      </c>
      <c r="E8" s="2" t="s">
        <v>2595</v>
      </c>
      <c r="F8" s="9">
        <v>46085</v>
      </c>
      <c r="G8" s="9">
        <v>46060</v>
      </c>
      <c r="H8" s="8">
        <v>109.99</v>
      </c>
      <c r="I8" s="8">
        <v>22.62</v>
      </c>
      <c r="J8" s="9">
        <v>46090</v>
      </c>
      <c r="K8" s="2" t="s">
        <v>2596</v>
      </c>
      <c r="L8" s="2" t="s">
        <v>17</v>
      </c>
    </row>
    <row r="9" spans="1:12">
      <c r="A9" s="2" t="s">
        <v>2597</v>
      </c>
      <c r="B9" s="2" t="s">
        <v>2598</v>
      </c>
      <c r="C9" s="2" t="s">
        <v>14</v>
      </c>
      <c r="D9" s="2" t="s">
        <v>15</v>
      </c>
      <c r="E9" s="2" t="s">
        <v>2599</v>
      </c>
      <c r="F9" s="9">
        <v>46086</v>
      </c>
      <c r="G9" s="9">
        <v>46060</v>
      </c>
      <c r="H9" s="8">
        <v>109.99</v>
      </c>
      <c r="I9" s="8">
        <v>25.2</v>
      </c>
      <c r="J9" s="9">
        <v>46096</v>
      </c>
      <c r="K9" s="2" t="s">
        <v>2600</v>
      </c>
      <c r="L9" s="2" t="s">
        <v>17</v>
      </c>
    </row>
    <row r="10" spans="1:12">
      <c r="A10" s="2" t="s">
        <v>2601</v>
      </c>
      <c r="B10" s="2" t="s">
        <v>2602</v>
      </c>
      <c r="C10" s="2" t="s">
        <v>14</v>
      </c>
      <c r="D10" s="2" t="s">
        <v>15</v>
      </c>
      <c r="E10" s="2" t="s">
        <v>2603</v>
      </c>
      <c r="F10" s="9">
        <v>46086</v>
      </c>
      <c r="G10" s="9">
        <v>46060</v>
      </c>
      <c r="H10" s="8">
        <v>109.99</v>
      </c>
      <c r="I10" s="8"/>
      <c r="J10" s="9"/>
      <c r="K10" s="2" t="s">
        <v>2604</v>
      </c>
      <c r="L10" s="2" t="s">
        <v>17</v>
      </c>
    </row>
    <row r="11" spans="1:12">
      <c r="A11" s="2" t="s">
        <v>2605</v>
      </c>
      <c r="B11" s="2" t="s">
        <v>2606</v>
      </c>
      <c r="C11" s="2" t="s">
        <v>14</v>
      </c>
      <c r="D11" s="2" t="s">
        <v>15</v>
      </c>
      <c r="E11" s="2" t="s">
        <v>80</v>
      </c>
      <c r="F11" s="9">
        <v>46085</v>
      </c>
      <c r="G11" s="9">
        <v>46060</v>
      </c>
      <c r="H11" s="8">
        <v>119.99</v>
      </c>
      <c r="I11" s="8">
        <v>41.23</v>
      </c>
      <c r="J11" s="9">
        <v>46088</v>
      </c>
      <c r="K11" s="2" t="s">
        <v>2607</v>
      </c>
      <c r="L11" s="2" t="s">
        <v>17</v>
      </c>
    </row>
    <row r="12" spans="1:12">
      <c r="A12" s="2" t="s">
        <v>2608</v>
      </c>
      <c r="B12" s="2" t="s">
        <v>2609</v>
      </c>
      <c r="C12" s="2" t="s">
        <v>14</v>
      </c>
      <c r="D12" s="2" t="s">
        <v>15</v>
      </c>
      <c r="E12" s="2" t="s">
        <v>2610</v>
      </c>
      <c r="F12" s="9">
        <v>46085</v>
      </c>
      <c r="G12" s="9">
        <v>46060</v>
      </c>
      <c r="H12" s="8">
        <v>99.99</v>
      </c>
      <c r="I12" s="8">
        <v>19.940000000000001</v>
      </c>
      <c r="J12" s="9">
        <v>46090</v>
      </c>
      <c r="K12" s="2" t="s">
        <v>2611</v>
      </c>
      <c r="L12" s="2" t="s">
        <v>17</v>
      </c>
    </row>
    <row r="13" spans="1:12">
      <c r="A13" s="2" t="s">
        <v>2612</v>
      </c>
      <c r="B13" s="2" t="s">
        <v>2613</v>
      </c>
      <c r="C13" s="2" t="s">
        <v>14</v>
      </c>
      <c r="D13" s="2" t="s">
        <v>15</v>
      </c>
      <c r="E13" s="2" t="s">
        <v>2603</v>
      </c>
      <c r="F13" s="9">
        <v>46086</v>
      </c>
      <c r="G13" s="9">
        <v>46060</v>
      </c>
      <c r="H13" s="8">
        <v>122.95</v>
      </c>
      <c r="I13" s="8"/>
      <c r="J13" s="9"/>
      <c r="K13" s="2"/>
      <c r="L13" s="2" t="s">
        <v>17</v>
      </c>
    </row>
    <row r="14" spans="1:12">
      <c r="A14" s="2" t="s">
        <v>2614</v>
      </c>
      <c r="B14" s="2" t="s">
        <v>2615</v>
      </c>
      <c r="C14" s="2" t="s">
        <v>14</v>
      </c>
      <c r="D14" s="2" t="s">
        <v>15</v>
      </c>
      <c r="E14" s="2" t="s">
        <v>16</v>
      </c>
      <c r="F14" s="9">
        <v>46085</v>
      </c>
      <c r="G14" s="9">
        <v>46060</v>
      </c>
      <c r="H14" s="8">
        <v>2.44</v>
      </c>
      <c r="I14" s="8">
        <v>2.44</v>
      </c>
      <c r="J14" s="9"/>
      <c r="K14" s="23" t="s">
        <v>2616</v>
      </c>
      <c r="L14" s="2" t="s">
        <v>17</v>
      </c>
    </row>
    <row r="15" spans="1:12">
      <c r="A15" s="2" t="s">
        <v>2617</v>
      </c>
      <c r="B15" s="2" t="s">
        <v>2618</v>
      </c>
      <c r="C15" s="2" t="s">
        <v>14</v>
      </c>
      <c r="D15" s="2" t="s">
        <v>15</v>
      </c>
      <c r="E15" s="2" t="s">
        <v>16</v>
      </c>
      <c r="F15" s="9">
        <v>46085</v>
      </c>
      <c r="G15" s="9">
        <v>46060</v>
      </c>
      <c r="H15" s="8">
        <v>4.2300000000000004</v>
      </c>
      <c r="I15" s="8">
        <v>4.2300000000000004</v>
      </c>
      <c r="J15" s="9"/>
      <c r="K15" s="23" t="s">
        <v>2619</v>
      </c>
      <c r="L15" s="2" t="s">
        <v>17</v>
      </c>
    </row>
    <row r="16" spans="1:12">
      <c r="A16" s="2" t="s">
        <v>2620</v>
      </c>
      <c r="B16" s="2" t="s">
        <v>2621</v>
      </c>
      <c r="C16" s="2" t="s">
        <v>14</v>
      </c>
      <c r="D16" s="2" t="s">
        <v>15</v>
      </c>
      <c r="E16" s="2" t="s">
        <v>2599</v>
      </c>
      <c r="F16" s="9">
        <v>46085</v>
      </c>
      <c r="G16" s="9">
        <v>46060</v>
      </c>
      <c r="H16" s="8">
        <v>112.29</v>
      </c>
      <c r="I16" s="8">
        <v>23.09</v>
      </c>
      <c r="J16" s="9">
        <v>46088</v>
      </c>
      <c r="K16" s="2" t="s">
        <v>2622</v>
      </c>
      <c r="L16" s="2" t="s">
        <v>17</v>
      </c>
    </row>
    <row r="17" spans="1:12">
      <c r="A17" s="2" t="s">
        <v>2623</v>
      </c>
      <c r="B17" s="2" t="s">
        <v>2624</v>
      </c>
      <c r="C17" s="2" t="s">
        <v>14</v>
      </c>
      <c r="D17" s="2" t="s">
        <v>15</v>
      </c>
      <c r="E17" s="2" t="s">
        <v>2625</v>
      </c>
      <c r="F17" s="9">
        <v>46086</v>
      </c>
      <c r="G17" s="9">
        <v>46060</v>
      </c>
      <c r="H17" s="8">
        <v>119.99</v>
      </c>
      <c r="I17" s="8">
        <v>18.670000000000002</v>
      </c>
      <c r="J17" s="9">
        <v>46090</v>
      </c>
      <c r="K17" s="2" t="s">
        <v>2626</v>
      </c>
      <c r="L17" s="2" t="s">
        <v>17</v>
      </c>
    </row>
    <row r="18" spans="1:12">
      <c r="A18" s="2" t="s">
        <v>2627</v>
      </c>
      <c r="B18" s="2" t="s">
        <v>2628</v>
      </c>
      <c r="C18" s="2" t="s">
        <v>14</v>
      </c>
      <c r="D18" s="2" t="s">
        <v>15</v>
      </c>
      <c r="E18" s="2" t="s">
        <v>2629</v>
      </c>
      <c r="F18" s="9">
        <v>46086</v>
      </c>
      <c r="G18" s="9">
        <v>46060</v>
      </c>
      <c r="H18" s="8">
        <v>99.99</v>
      </c>
      <c r="I18" s="8">
        <v>30.85</v>
      </c>
      <c r="J18" s="9">
        <v>46089</v>
      </c>
      <c r="K18" s="2" t="s">
        <v>2630</v>
      </c>
      <c r="L18" s="2" t="s">
        <v>17</v>
      </c>
    </row>
    <row r="19" spans="1:12">
      <c r="A19" s="2" t="s">
        <v>2631</v>
      </c>
      <c r="B19" s="2" t="s">
        <v>2632</v>
      </c>
      <c r="C19" s="2" t="s">
        <v>14</v>
      </c>
      <c r="D19" s="2" t="s">
        <v>15</v>
      </c>
      <c r="E19" s="2" t="s">
        <v>2633</v>
      </c>
      <c r="F19" s="9">
        <v>46086</v>
      </c>
      <c r="G19" s="9">
        <v>46060</v>
      </c>
      <c r="H19" s="8">
        <v>99.99</v>
      </c>
      <c r="I19" s="8">
        <v>30</v>
      </c>
      <c r="J19" s="9">
        <v>46090</v>
      </c>
      <c r="K19" s="2" t="s">
        <v>2634</v>
      </c>
      <c r="L19" s="2" t="s">
        <v>17</v>
      </c>
    </row>
    <row r="20" spans="1:12">
      <c r="A20" s="2" t="s">
        <v>2635</v>
      </c>
      <c r="B20" s="2" t="s">
        <v>2636</v>
      </c>
      <c r="C20" s="2" t="s">
        <v>14</v>
      </c>
      <c r="D20" s="2" t="s">
        <v>15</v>
      </c>
      <c r="E20" s="2" t="s">
        <v>55</v>
      </c>
      <c r="F20" s="9">
        <v>46086</v>
      </c>
      <c r="G20" s="9">
        <v>46060</v>
      </c>
      <c r="H20" s="8">
        <v>99.99</v>
      </c>
      <c r="I20" s="8">
        <v>10.77</v>
      </c>
      <c r="J20" s="9">
        <v>46089</v>
      </c>
      <c r="K20" s="2" t="s">
        <v>2637</v>
      </c>
      <c r="L20" s="2" t="s">
        <v>17</v>
      </c>
    </row>
    <row r="21" spans="1:12">
      <c r="A21" s="2" t="s">
        <v>2638</v>
      </c>
      <c r="B21" s="2" t="s">
        <v>2639</v>
      </c>
      <c r="C21" s="2" t="s">
        <v>14</v>
      </c>
      <c r="D21" s="2" t="s">
        <v>15</v>
      </c>
      <c r="E21" s="2" t="s">
        <v>2640</v>
      </c>
      <c r="F21" s="9">
        <v>46086</v>
      </c>
      <c r="G21" s="9">
        <v>46060</v>
      </c>
      <c r="H21" s="8">
        <v>99.99</v>
      </c>
      <c r="I21" s="8">
        <v>20.57</v>
      </c>
      <c r="J21" s="9">
        <v>46089</v>
      </c>
      <c r="K21" s="2" t="s">
        <v>2641</v>
      </c>
      <c r="L21" s="2" t="s">
        <v>17</v>
      </c>
    </row>
    <row r="22" spans="1:12">
      <c r="A22" s="2" t="s">
        <v>2642</v>
      </c>
      <c r="B22" s="2" t="s">
        <v>2643</v>
      </c>
      <c r="C22" s="2" t="s">
        <v>14</v>
      </c>
      <c r="D22" s="2" t="s">
        <v>15</v>
      </c>
      <c r="E22" s="2" t="s">
        <v>2633</v>
      </c>
      <c r="F22" s="9">
        <v>46086</v>
      </c>
      <c r="G22" s="9">
        <v>46060</v>
      </c>
      <c r="H22" s="8">
        <v>110.21</v>
      </c>
      <c r="I22" s="8">
        <v>22.67</v>
      </c>
      <c r="J22" s="9">
        <v>46091</v>
      </c>
      <c r="K22" s="2" t="s">
        <v>2644</v>
      </c>
      <c r="L22" s="2" t="s">
        <v>17</v>
      </c>
    </row>
    <row r="23" spans="1:12">
      <c r="A23" s="2" t="s">
        <v>2645</v>
      </c>
      <c r="B23" s="2" t="s">
        <v>2646</v>
      </c>
      <c r="C23" s="2" t="s">
        <v>14</v>
      </c>
      <c r="D23" s="2" t="s">
        <v>15</v>
      </c>
      <c r="E23" s="2" t="s">
        <v>2647</v>
      </c>
      <c r="F23" s="9">
        <v>46086</v>
      </c>
      <c r="G23" s="9">
        <v>46060</v>
      </c>
      <c r="H23" s="8">
        <v>109.99</v>
      </c>
      <c r="I23" s="8">
        <v>29.51</v>
      </c>
      <c r="J23" s="9">
        <v>46094</v>
      </c>
      <c r="K23" s="2" t="s">
        <v>2648</v>
      </c>
      <c r="L23" s="2" t="s">
        <v>17</v>
      </c>
    </row>
    <row r="24" spans="1:12">
      <c r="A24" s="2" t="s">
        <v>2649</v>
      </c>
      <c r="B24" s="2" t="s">
        <v>2650</v>
      </c>
      <c r="C24" s="2" t="s">
        <v>14</v>
      </c>
      <c r="D24" s="2" t="s">
        <v>15</v>
      </c>
      <c r="E24" s="2" t="s">
        <v>55</v>
      </c>
      <c r="F24" s="9">
        <v>46086</v>
      </c>
      <c r="G24" s="9">
        <v>46060</v>
      </c>
      <c r="H24" s="8">
        <v>141.46</v>
      </c>
      <c r="I24" s="8">
        <v>29.1</v>
      </c>
      <c r="J24" s="9">
        <v>46090</v>
      </c>
      <c r="K24" s="2" t="s">
        <v>2651</v>
      </c>
      <c r="L24" s="2" t="s">
        <v>17</v>
      </c>
    </row>
    <row r="25" spans="1:12">
      <c r="A25" s="2" t="s">
        <v>2652</v>
      </c>
      <c r="B25" s="2" t="s">
        <v>2653</v>
      </c>
      <c r="C25" s="2" t="s">
        <v>14</v>
      </c>
      <c r="D25" s="2" t="s">
        <v>15</v>
      </c>
      <c r="E25" s="2" t="s">
        <v>2654</v>
      </c>
      <c r="F25" s="9">
        <v>46086</v>
      </c>
      <c r="G25" s="9">
        <v>46060</v>
      </c>
      <c r="H25" s="8">
        <v>109.99</v>
      </c>
      <c r="I25" s="8">
        <v>26.35</v>
      </c>
      <c r="J25" s="9">
        <v>46090</v>
      </c>
      <c r="K25" s="2" t="s">
        <v>2655</v>
      </c>
      <c r="L25" s="2" t="s">
        <v>17</v>
      </c>
    </row>
    <row r="26" spans="1:12">
      <c r="A26" s="2" t="s">
        <v>2656</v>
      </c>
      <c r="B26" s="2" t="s">
        <v>2657</v>
      </c>
      <c r="C26" s="2" t="s">
        <v>14</v>
      </c>
      <c r="D26" s="2" t="s">
        <v>15</v>
      </c>
      <c r="E26" s="2" t="s">
        <v>2603</v>
      </c>
      <c r="F26" s="9">
        <v>46086</v>
      </c>
      <c r="G26" s="9">
        <v>46060</v>
      </c>
      <c r="H26" s="8">
        <v>49.99</v>
      </c>
      <c r="I26" s="8"/>
      <c r="J26" s="9"/>
      <c r="K26" s="2"/>
      <c r="L26" s="2" t="s">
        <v>17</v>
      </c>
    </row>
    <row r="27" spans="1:12">
      <c r="A27" s="2" t="s">
        <v>2658</v>
      </c>
      <c r="B27" s="2" t="s">
        <v>2659</v>
      </c>
      <c r="C27" s="2" t="s">
        <v>14</v>
      </c>
      <c r="D27" s="2" t="s">
        <v>15</v>
      </c>
      <c r="E27" s="2" t="s">
        <v>2654</v>
      </c>
      <c r="F27" s="9">
        <v>46086</v>
      </c>
      <c r="G27" s="9">
        <v>46060</v>
      </c>
      <c r="H27" s="8">
        <v>94.99</v>
      </c>
      <c r="I27" s="8">
        <v>38.82</v>
      </c>
      <c r="J27" s="9">
        <v>46090</v>
      </c>
      <c r="K27" s="2" t="s">
        <v>2660</v>
      </c>
      <c r="L27" s="2" t="s">
        <v>17</v>
      </c>
    </row>
    <row r="28" spans="1:12">
      <c r="A28" s="2" t="s">
        <v>2661</v>
      </c>
      <c r="B28" s="2" t="s">
        <v>2662</v>
      </c>
      <c r="C28" s="2" t="s">
        <v>14</v>
      </c>
      <c r="D28" s="2" t="s">
        <v>15</v>
      </c>
      <c r="E28" s="2" t="s">
        <v>2663</v>
      </c>
      <c r="F28" s="9">
        <v>46085</v>
      </c>
      <c r="G28" s="9">
        <v>46060</v>
      </c>
      <c r="H28" s="8">
        <v>99.99</v>
      </c>
      <c r="I28" s="8">
        <v>20.56</v>
      </c>
      <c r="J28" s="9">
        <v>46090</v>
      </c>
      <c r="K28" s="2" t="s">
        <v>2664</v>
      </c>
      <c r="L28" s="2" t="s">
        <v>17</v>
      </c>
    </row>
    <row r="29" spans="1:12">
      <c r="A29" s="2" t="s">
        <v>2665</v>
      </c>
      <c r="B29" s="2" t="s">
        <v>2666</v>
      </c>
      <c r="C29" s="2" t="s">
        <v>2667</v>
      </c>
      <c r="D29" s="2" t="s">
        <v>15</v>
      </c>
      <c r="E29" s="2" t="s">
        <v>80</v>
      </c>
      <c r="F29" s="9">
        <v>46086</v>
      </c>
      <c r="G29" s="9">
        <v>45998</v>
      </c>
      <c r="H29" s="8">
        <v>105.85</v>
      </c>
      <c r="I29" s="8">
        <v>27.88</v>
      </c>
      <c r="J29" s="9">
        <v>46091</v>
      </c>
      <c r="K29" s="2" t="s">
        <v>2668</v>
      </c>
      <c r="L29" s="2" t="s">
        <v>17</v>
      </c>
    </row>
    <row r="30" spans="1:12">
      <c r="A30" s="14" t="s">
        <v>1320</v>
      </c>
      <c r="B30" s="2" t="s">
        <v>1321</v>
      </c>
      <c r="C30" s="2" t="s">
        <v>2667</v>
      </c>
      <c r="D30" s="2" t="s">
        <v>15</v>
      </c>
      <c r="E30" s="2" t="s">
        <v>2663</v>
      </c>
      <c r="F30" s="9">
        <v>46090</v>
      </c>
      <c r="G30" s="9">
        <v>46001</v>
      </c>
      <c r="H30" s="8">
        <v>98.34</v>
      </c>
      <c r="I30" s="8">
        <v>35</v>
      </c>
      <c r="J30" s="9">
        <v>46093</v>
      </c>
      <c r="K30" s="2" t="s">
        <v>2669</v>
      </c>
      <c r="L30" s="2" t="s">
        <v>17</v>
      </c>
    </row>
    <row r="31" spans="1:12">
      <c r="A31" s="2" t="s">
        <v>1329</v>
      </c>
      <c r="B31" s="2" t="s">
        <v>1330</v>
      </c>
      <c r="C31" s="2" t="s">
        <v>2667</v>
      </c>
      <c r="D31" s="2" t="s">
        <v>15</v>
      </c>
      <c r="E31" s="2" t="s">
        <v>80</v>
      </c>
      <c r="F31" s="9">
        <v>46091</v>
      </c>
      <c r="G31" s="9">
        <v>46001</v>
      </c>
      <c r="H31" s="8">
        <v>83.02</v>
      </c>
      <c r="I31" s="8">
        <v>27.04</v>
      </c>
      <c r="J31" s="9">
        <v>46095</v>
      </c>
      <c r="K31" s="2" t="s">
        <v>2670</v>
      </c>
      <c r="L31" s="2" t="s">
        <v>17</v>
      </c>
    </row>
    <row r="32" spans="1:12">
      <c r="A32" s="2" t="s">
        <v>1332</v>
      </c>
      <c r="B32" s="2" t="s">
        <v>1333</v>
      </c>
      <c r="C32" s="2" t="s">
        <v>2667</v>
      </c>
      <c r="D32" s="2" t="s">
        <v>15</v>
      </c>
      <c r="E32" s="2" t="s">
        <v>2663</v>
      </c>
      <c r="F32" s="9">
        <v>46091</v>
      </c>
      <c r="G32" s="9">
        <v>46001</v>
      </c>
      <c r="H32" s="8">
        <v>92.04</v>
      </c>
      <c r="I32" s="8">
        <v>20.27</v>
      </c>
      <c r="J32" s="9">
        <v>46094</v>
      </c>
      <c r="K32" s="2" t="s">
        <v>2671</v>
      </c>
      <c r="L32" s="2" t="s">
        <v>17</v>
      </c>
    </row>
    <row r="33" spans="1:12">
      <c r="A33" s="14" t="s">
        <v>2672</v>
      </c>
      <c r="B33" s="2" t="s">
        <v>2673</v>
      </c>
      <c r="C33" s="2" t="s">
        <v>2667</v>
      </c>
      <c r="D33" s="2" t="s">
        <v>15</v>
      </c>
      <c r="E33" s="2" t="s">
        <v>2629</v>
      </c>
      <c r="F33" s="9">
        <v>46090</v>
      </c>
      <c r="G33" s="9">
        <v>46001</v>
      </c>
      <c r="H33" s="8">
        <v>168.9</v>
      </c>
      <c r="I33" s="8">
        <v>31.8</v>
      </c>
      <c r="J33" s="9">
        <v>46094</v>
      </c>
      <c r="K33" s="2" t="s">
        <v>2674</v>
      </c>
      <c r="L33" s="2" t="s">
        <v>17</v>
      </c>
    </row>
    <row r="34" spans="1:12">
      <c r="A34" s="2" t="s">
        <v>1338</v>
      </c>
      <c r="B34" s="2" t="s">
        <v>1339</v>
      </c>
      <c r="C34" s="2" t="s">
        <v>2667</v>
      </c>
      <c r="D34" s="2" t="s">
        <v>15</v>
      </c>
      <c r="E34" s="2" t="s">
        <v>80</v>
      </c>
      <c r="F34" s="9">
        <v>46091</v>
      </c>
      <c r="G34" s="9">
        <v>46001</v>
      </c>
      <c r="H34" s="8">
        <v>159.97999999999999</v>
      </c>
      <c r="I34" s="8">
        <v>19.22</v>
      </c>
      <c r="J34" s="9">
        <v>46096</v>
      </c>
      <c r="K34" s="2" t="s">
        <v>2675</v>
      </c>
      <c r="L34" s="2" t="s">
        <v>17</v>
      </c>
    </row>
    <row r="35" spans="1:12">
      <c r="A35" s="14" t="s">
        <v>2676</v>
      </c>
      <c r="B35" s="2" t="s">
        <v>2677</v>
      </c>
      <c r="C35" s="2" t="s">
        <v>2667</v>
      </c>
      <c r="D35" s="2" t="s">
        <v>15</v>
      </c>
      <c r="E35" s="2" t="s">
        <v>2584</v>
      </c>
      <c r="F35" s="9">
        <v>46090</v>
      </c>
      <c r="G35" s="9">
        <v>46001</v>
      </c>
      <c r="H35" s="8">
        <v>124.1</v>
      </c>
      <c r="I35" s="8">
        <v>18.239999999999998</v>
      </c>
      <c r="J35" s="9">
        <v>46094</v>
      </c>
      <c r="K35" s="2" t="s">
        <v>2678</v>
      </c>
      <c r="L35" s="2" t="s">
        <v>17</v>
      </c>
    </row>
    <row r="36" spans="1:12">
      <c r="A36" s="2" t="s">
        <v>1347</v>
      </c>
      <c r="B36" s="2" t="s">
        <v>1348</v>
      </c>
      <c r="C36" s="2" t="s">
        <v>2667</v>
      </c>
      <c r="D36" s="2" t="s">
        <v>15</v>
      </c>
      <c r="E36" s="2" t="s">
        <v>2679</v>
      </c>
      <c r="F36" s="9">
        <v>46091</v>
      </c>
      <c r="G36" s="9">
        <v>46001</v>
      </c>
      <c r="H36" s="8">
        <v>59.99</v>
      </c>
      <c r="I36" s="8">
        <v>12.73</v>
      </c>
      <c r="J36" s="9">
        <v>46094</v>
      </c>
      <c r="K36" s="2" t="s">
        <v>2680</v>
      </c>
      <c r="L36" s="2" t="s">
        <v>17</v>
      </c>
    </row>
    <row r="37" spans="1:12">
      <c r="A37" s="14" t="s">
        <v>2681</v>
      </c>
      <c r="B37" s="2" t="s">
        <v>2682</v>
      </c>
      <c r="C37" s="2" t="s">
        <v>2667</v>
      </c>
      <c r="D37" s="2" t="s">
        <v>15</v>
      </c>
      <c r="E37" s="2" t="s">
        <v>2683</v>
      </c>
      <c r="F37" s="9">
        <v>46090</v>
      </c>
      <c r="G37" s="9">
        <v>46001</v>
      </c>
      <c r="H37" s="8">
        <v>50.99</v>
      </c>
      <c r="I37" s="8">
        <v>7.58</v>
      </c>
      <c r="J37" s="9">
        <v>46094</v>
      </c>
      <c r="K37" s="2" t="s">
        <v>2684</v>
      </c>
      <c r="L37" s="2" t="s">
        <v>17</v>
      </c>
    </row>
    <row r="38" spans="1:12">
      <c r="A38" s="14" t="s">
        <v>527</v>
      </c>
      <c r="B38" s="2" t="s">
        <v>528</v>
      </c>
      <c r="C38" s="2" t="s">
        <v>2667</v>
      </c>
      <c r="D38" s="2" t="s">
        <v>15</v>
      </c>
      <c r="E38" s="2" t="s">
        <v>80</v>
      </c>
      <c r="F38" s="9">
        <v>46090</v>
      </c>
      <c r="G38" s="9">
        <v>46001</v>
      </c>
      <c r="H38" s="8">
        <v>64.989999999999995</v>
      </c>
      <c r="I38" s="8">
        <v>37.57</v>
      </c>
      <c r="J38" s="9">
        <v>46095</v>
      </c>
      <c r="K38" s="2" t="s">
        <v>2685</v>
      </c>
      <c r="L38" s="2" t="s">
        <v>17</v>
      </c>
    </row>
    <row r="39" spans="1:12">
      <c r="A39" s="2" t="s">
        <v>498</v>
      </c>
      <c r="B39" s="2" t="s">
        <v>499</v>
      </c>
      <c r="C39" s="2" t="s">
        <v>2667</v>
      </c>
      <c r="D39" s="2" t="s">
        <v>15</v>
      </c>
      <c r="E39" s="2" t="s">
        <v>2686</v>
      </c>
      <c r="F39" s="9">
        <v>46091</v>
      </c>
      <c r="G39" s="9">
        <v>46001</v>
      </c>
      <c r="H39" s="8">
        <v>1666.13</v>
      </c>
      <c r="I39" s="8">
        <v>244.92</v>
      </c>
      <c r="J39" s="9">
        <v>46096</v>
      </c>
      <c r="K39" s="2" t="s">
        <v>2687</v>
      </c>
      <c r="L39" s="2" t="s">
        <v>17</v>
      </c>
    </row>
    <row r="40" spans="1:12">
      <c r="A40" s="2" t="s">
        <v>2688</v>
      </c>
      <c r="B40" s="2" t="s">
        <v>2689</v>
      </c>
      <c r="C40" s="2" t="s">
        <v>2667</v>
      </c>
      <c r="D40" s="2" t="s">
        <v>15</v>
      </c>
      <c r="E40" s="2" t="s">
        <v>2690</v>
      </c>
      <c r="F40" s="9">
        <v>46091</v>
      </c>
      <c r="G40" s="9">
        <v>46001</v>
      </c>
      <c r="H40" s="8">
        <v>50.99</v>
      </c>
      <c r="I40" s="8">
        <v>20</v>
      </c>
      <c r="J40" s="9">
        <v>46094</v>
      </c>
      <c r="K40" s="2" t="s">
        <v>2691</v>
      </c>
      <c r="L40" s="2" t="s">
        <v>17</v>
      </c>
    </row>
    <row r="41" spans="1:12">
      <c r="A41" s="2" t="s">
        <v>2692</v>
      </c>
      <c r="B41" s="2" t="s">
        <v>2693</v>
      </c>
      <c r="C41" s="2" t="s">
        <v>2667</v>
      </c>
      <c r="D41" s="2" t="s">
        <v>15</v>
      </c>
      <c r="E41" s="2" t="s">
        <v>2633</v>
      </c>
      <c r="F41" s="9">
        <v>46091</v>
      </c>
      <c r="G41" s="9">
        <v>46001</v>
      </c>
      <c r="H41" s="8">
        <v>51.89</v>
      </c>
      <c r="I41" s="8">
        <v>7.75</v>
      </c>
      <c r="J41" s="9">
        <v>46094</v>
      </c>
      <c r="K41" s="2" t="s">
        <v>2694</v>
      </c>
      <c r="L41" s="2" t="s">
        <v>17</v>
      </c>
    </row>
    <row r="42" spans="1:12">
      <c r="A42" s="2" t="s">
        <v>2695</v>
      </c>
      <c r="B42" s="2" t="s">
        <v>2696</v>
      </c>
      <c r="C42" s="2" t="s">
        <v>2667</v>
      </c>
      <c r="D42" s="2" t="s">
        <v>15</v>
      </c>
      <c r="E42" s="2" t="s">
        <v>2599</v>
      </c>
      <c r="F42" s="9">
        <v>46091</v>
      </c>
      <c r="G42" s="9">
        <v>46001</v>
      </c>
      <c r="H42" s="8">
        <v>11133.74</v>
      </c>
      <c r="I42" s="8">
        <v>1188.05</v>
      </c>
      <c r="J42" s="9">
        <v>46096</v>
      </c>
      <c r="K42" s="2" t="s">
        <v>2697</v>
      </c>
      <c r="L42" s="2" t="s">
        <v>17</v>
      </c>
    </row>
    <row r="43" spans="1:12">
      <c r="A43" s="2" t="s">
        <v>2698</v>
      </c>
      <c r="B43" s="2" t="s">
        <v>2699</v>
      </c>
      <c r="C43" s="2" t="s">
        <v>2667</v>
      </c>
      <c r="D43" s="2" t="s">
        <v>15</v>
      </c>
      <c r="E43" s="2" t="s">
        <v>58</v>
      </c>
      <c r="F43" s="9">
        <v>46091</v>
      </c>
      <c r="G43" s="9">
        <v>46001</v>
      </c>
      <c r="H43" s="8">
        <v>135.5</v>
      </c>
      <c r="I43" s="8">
        <v>13.14</v>
      </c>
      <c r="J43" s="9">
        <v>46094</v>
      </c>
      <c r="K43" s="2" t="s">
        <v>2700</v>
      </c>
      <c r="L43" s="2" t="s">
        <v>17</v>
      </c>
    </row>
    <row r="44" spans="1:12">
      <c r="A44" s="2" t="s">
        <v>2701</v>
      </c>
      <c r="B44" s="2" t="s">
        <v>2702</v>
      </c>
      <c r="C44" s="2" t="s">
        <v>14</v>
      </c>
      <c r="D44" s="2" t="s">
        <v>15</v>
      </c>
      <c r="E44" s="2" t="s">
        <v>2703</v>
      </c>
      <c r="F44" s="9">
        <v>46098</v>
      </c>
      <c r="G44" s="9">
        <v>46063</v>
      </c>
      <c r="H44" s="8">
        <v>109.99</v>
      </c>
      <c r="I44" s="8">
        <v>24.15</v>
      </c>
      <c r="J44" s="9">
        <v>46099</v>
      </c>
      <c r="K44" s="2" t="s">
        <v>2704</v>
      </c>
      <c r="L44" s="2" t="s">
        <v>17</v>
      </c>
    </row>
    <row r="45" spans="1:12">
      <c r="A45" s="2" t="s">
        <v>2705</v>
      </c>
      <c r="B45" s="2" t="s">
        <v>2706</v>
      </c>
      <c r="C45" s="2" t="s">
        <v>14</v>
      </c>
      <c r="D45" s="2" t="s">
        <v>15</v>
      </c>
      <c r="E45" s="2" t="s">
        <v>2654</v>
      </c>
      <c r="F45" s="9">
        <v>46093</v>
      </c>
      <c r="G45" s="9">
        <v>46063</v>
      </c>
      <c r="H45" s="8">
        <v>99.99</v>
      </c>
      <c r="I45" s="8">
        <v>20.6</v>
      </c>
      <c r="J45" s="9">
        <v>46098</v>
      </c>
      <c r="K45" s="2" t="s">
        <v>2707</v>
      </c>
      <c r="L45" s="2" t="s">
        <v>17</v>
      </c>
    </row>
    <row r="46" spans="1:12">
      <c r="A46" s="2" t="s">
        <v>2708</v>
      </c>
      <c r="B46" s="2" t="s">
        <v>2709</v>
      </c>
      <c r="C46" s="2" t="s">
        <v>14</v>
      </c>
      <c r="D46" s="2" t="s">
        <v>15</v>
      </c>
      <c r="E46" s="2" t="s">
        <v>55</v>
      </c>
      <c r="F46" s="9">
        <v>46107</v>
      </c>
      <c r="G46" s="9">
        <v>46063</v>
      </c>
      <c r="H46" s="8">
        <v>120.18</v>
      </c>
      <c r="I46" s="8">
        <v>42.68</v>
      </c>
      <c r="J46" s="9">
        <v>46112</v>
      </c>
      <c r="K46" s="2" t="s">
        <v>2710</v>
      </c>
      <c r="L46" s="2" t="s">
        <v>17</v>
      </c>
    </row>
    <row r="47" spans="1:12">
      <c r="A47" s="2" t="s">
        <v>2711</v>
      </c>
      <c r="B47" s="2" t="s">
        <v>2712</v>
      </c>
      <c r="C47" s="2" t="s">
        <v>14</v>
      </c>
      <c r="D47" s="2" t="s">
        <v>15</v>
      </c>
      <c r="E47" s="2" t="s">
        <v>2574</v>
      </c>
      <c r="F47" s="9">
        <v>46093</v>
      </c>
      <c r="G47" s="9">
        <v>46063</v>
      </c>
      <c r="H47" s="8">
        <v>111.72</v>
      </c>
      <c r="I47" s="8">
        <v>23.01</v>
      </c>
      <c r="J47" s="9">
        <v>46097</v>
      </c>
      <c r="K47" s="2" t="s">
        <v>2713</v>
      </c>
      <c r="L47" s="2" t="s">
        <v>17</v>
      </c>
    </row>
    <row r="48" spans="1:12">
      <c r="A48" s="2" t="s">
        <v>2714</v>
      </c>
      <c r="B48" s="2" t="s">
        <v>2715</v>
      </c>
      <c r="C48" s="2" t="s">
        <v>14</v>
      </c>
      <c r="D48" s="2" t="s">
        <v>15</v>
      </c>
      <c r="E48" s="2" t="s">
        <v>2633</v>
      </c>
      <c r="F48" s="9">
        <v>46092</v>
      </c>
      <c r="G48" s="9">
        <v>46063</v>
      </c>
      <c r="H48" s="8">
        <v>110.68</v>
      </c>
      <c r="I48" s="8">
        <v>36.81</v>
      </c>
      <c r="J48" s="9">
        <v>46097</v>
      </c>
      <c r="K48" s="2" t="s">
        <v>2716</v>
      </c>
      <c r="L48" s="2" t="s">
        <v>17</v>
      </c>
    </row>
    <row r="49" spans="1:12">
      <c r="A49" s="2" t="s">
        <v>2717</v>
      </c>
      <c r="B49" s="2" t="s">
        <v>2718</v>
      </c>
      <c r="C49" s="2" t="s">
        <v>14</v>
      </c>
      <c r="D49" s="2" t="s">
        <v>15</v>
      </c>
      <c r="E49" s="2" t="s">
        <v>16</v>
      </c>
      <c r="F49" s="9">
        <v>46090</v>
      </c>
      <c r="G49" s="9">
        <v>46063</v>
      </c>
      <c r="H49" s="8">
        <v>24.86</v>
      </c>
      <c r="I49" s="8">
        <v>24.86</v>
      </c>
      <c r="J49" s="9"/>
      <c r="K49" s="2"/>
      <c r="L49" s="2" t="s">
        <v>17</v>
      </c>
    </row>
    <row r="50" spans="1:12">
      <c r="A50" s="2" t="s">
        <v>2719</v>
      </c>
      <c r="B50" s="2" t="s">
        <v>2720</v>
      </c>
      <c r="C50" s="2" t="s">
        <v>14</v>
      </c>
      <c r="D50" s="2" t="s">
        <v>15</v>
      </c>
      <c r="E50" s="2" t="s">
        <v>2584</v>
      </c>
      <c r="F50" s="9">
        <v>46097</v>
      </c>
      <c r="G50" s="9">
        <v>46063</v>
      </c>
      <c r="H50" s="8">
        <v>109.99</v>
      </c>
      <c r="I50" s="8">
        <v>22.69</v>
      </c>
      <c r="J50" s="9">
        <v>46101</v>
      </c>
      <c r="K50" s="2" t="s">
        <v>2721</v>
      </c>
      <c r="L50" s="2" t="s">
        <v>17</v>
      </c>
    </row>
    <row r="51" spans="1:12">
      <c r="A51" s="2" t="s">
        <v>2722</v>
      </c>
      <c r="B51" s="2" t="s">
        <v>2723</v>
      </c>
      <c r="C51" s="2" t="s">
        <v>14</v>
      </c>
      <c r="D51" s="2" t="s">
        <v>15</v>
      </c>
      <c r="E51" s="2" t="s">
        <v>2574</v>
      </c>
      <c r="F51" s="9">
        <v>46094</v>
      </c>
      <c r="G51" s="9">
        <v>46063</v>
      </c>
      <c r="H51" s="8">
        <v>99.99</v>
      </c>
      <c r="I51" s="8">
        <v>17.510000000000002</v>
      </c>
      <c r="J51" s="9">
        <v>46097</v>
      </c>
      <c r="K51" s="2" t="s">
        <v>2724</v>
      </c>
      <c r="L51" s="2" t="s">
        <v>17</v>
      </c>
    </row>
    <row r="52" spans="1:12">
      <c r="A52" s="2" t="s">
        <v>2725</v>
      </c>
      <c r="B52" s="2" t="s">
        <v>2726</v>
      </c>
      <c r="C52" s="2" t="s">
        <v>14</v>
      </c>
      <c r="D52" s="2" t="s">
        <v>15</v>
      </c>
      <c r="E52" s="2" t="s">
        <v>2727</v>
      </c>
      <c r="F52" s="9">
        <v>46094</v>
      </c>
      <c r="G52" s="9">
        <v>46063</v>
      </c>
      <c r="H52" s="8">
        <v>109.99</v>
      </c>
      <c r="I52" s="8">
        <v>28.48</v>
      </c>
      <c r="J52" s="9">
        <v>46097</v>
      </c>
      <c r="K52" s="2" t="s">
        <v>2728</v>
      </c>
      <c r="L52" s="2" t="s">
        <v>17</v>
      </c>
    </row>
    <row r="53" spans="1:12">
      <c r="A53" s="2" t="s">
        <v>2729</v>
      </c>
      <c r="B53" s="2" t="s">
        <v>2730</v>
      </c>
      <c r="C53" s="2" t="s">
        <v>14</v>
      </c>
      <c r="D53" s="2" t="s">
        <v>15</v>
      </c>
      <c r="E53" s="2" t="s">
        <v>16</v>
      </c>
      <c r="F53" s="9">
        <v>46097</v>
      </c>
      <c r="G53" s="9">
        <v>46063</v>
      </c>
      <c r="H53" s="8">
        <v>38.74</v>
      </c>
      <c r="I53" s="8"/>
      <c r="J53" s="9"/>
      <c r="K53" s="2"/>
      <c r="L53" s="2" t="s">
        <v>17</v>
      </c>
    </row>
    <row r="54" spans="1:12">
      <c r="A54" s="2" t="s">
        <v>164</v>
      </c>
      <c r="B54" s="2" t="s">
        <v>165</v>
      </c>
      <c r="C54" s="2" t="s">
        <v>14</v>
      </c>
      <c r="D54" s="2" t="s">
        <v>15</v>
      </c>
      <c r="E54" s="2" t="s">
        <v>16</v>
      </c>
      <c r="F54" s="9">
        <v>46090</v>
      </c>
      <c r="G54" s="9">
        <v>46063</v>
      </c>
      <c r="H54" s="8">
        <v>17.760000000000002</v>
      </c>
      <c r="I54" s="8">
        <v>17.760000000000002</v>
      </c>
      <c r="J54" s="9"/>
      <c r="K54" s="2" t="s">
        <v>2731</v>
      </c>
      <c r="L54" s="2" t="s">
        <v>17</v>
      </c>
    </row>
    <row r="55" spans="1:12">
      <c r="A55" s="2" t="s">
        <v>2732</v>
      </c>
      <c r="B55" s="2" t="s">
        <v>2733</v>
      </c>
      <c r="C55" s="2" t="s">
        <v>14</v>
      </c>
      <c r="D55" s="2" t="s">
        <v>15</v>
      </c>
      <c r="E55" s="2" t="s">
        <v>58</v>
      </c>
      <c r="F55" s="9">
        <v>46093</v>
      </c>
      <c r="G55" s="9">
        <v>46063</v>
      </c>
      <c r="H55" s="8">
        <v>109.99</v>
      </c>
      <c r="I55" s="8">
        <v>27.59</v>
      </c>
      <c r="J55" s="9">
        <v>46097</v>
      </c>
      <c r="K55" s="2">
        <v>314963046624</v>
      </c>
      <c r="L55" s="2" t="s">
        <v>17</v>
      </c>
    </row>
    <row r="56" spans="1:12">
      <c r="A56" s="14" t="s">
        <v>2734</v>
      </c>
      <c r="B56" s="2" t="s">
        <v>2735</v>
      </c>
      <c r="C56" s="2" t="s">
        <v>14</v>
      </c>
      <c r="D56" s="2" t="s">
        <v>15</v>
      </c>
      <c r="E56" s="2" t="s">
        <v>2599</v>
      </c>
      <c r="F56" s="9">
        <v>46090</v>
      </c>
      <c r="G56" s="9">
        <v>46063</v>
      </c>
      <c r="H56" s="8">
        <v>99.99</v>
      </c>
      <c r="I56" s="8">
        <v>10.29</v>
      </c>
      <c r="J56" s="9">
        <v>46094</v>
      </c>
      <c r="K56" s="2" t="s">
        <v>2736</v>
      </c>
      <c r="L56" s="2" t="s">
        <v>17</v>
      </c>
    </row>
    <row r="57" spans="1:12">
      <c r="A57" s="2" t="s">
        <v>2737</v>
      </c>
      <c r="B57" s="2" t="s">
        <v>2738</v>
      </c>
      <c r="C57" s="2" t="s">
        <v>14</v>
      </c>
      <c r="D57" s="2" t="s">
        <v>15</v>
      </c>
      <c r="E57" s="2" t="s">
        <v>2686</v>
      </c>
      <c r="F57" s="9">
        <v>46094</v>
      </c>
      <c r="G57" s="9">
        <v>46063</v>
      </c>
      <c r="H57" s="8">
        <v>139.99</v>
      </c>
      <c r="I57" s="8">
        <v>40.590000000000003</v>
      </c>
      <c r="J57" s="9">
        <v>46097</v>
      </c>
      <c r="K57" s="2" t="s">
        <v>2739</v>
      </c>
      <c r="L57" s="2" t="s">
        <v>17</v>
      </c>
    </row>
    <row r="58" spans="1:12">
      <c r="A58" s="2" t="s">
        <v>2740</v>
      </c>
      <c r="B58" s="2" t="s">
        <v>2741</v>
      </c>
      <c r="C58" s="2" t="s">
        <v>14</v>
      </c>
      <c r="D58" s="2" t="s">
        <v>15</v>
      </c>
      <c r="E58" s="2" t="s">
        <v>2742</v>
      </c>
      <c r="F58" s="9">
        <v>46106</v>
      </c>
      <c r="G58" s="9">
        <v>46063</v>
      </c>
      <c r="H58" s="8">
        <v>99.99</v>
      </c>
      <c r="I58" s="8">
        <v>35</v>
      </c>
      <c r="J58" s="9">
        <v>46108</v>
      </c>
      <c r="K58" s="2" t="s">
        <v>2743</v>
      </c>
      <c r="L58" s="2" t="s">
        <v>17</v>
      </c>
    </row>
    <row r="59" spans="1:12">
      <c r="A59" s="2" t="s">
        <v>2744</v>
      </c>
      <c r="B59" s="2" t="s">
        <v>2745</v>
      </c>
      <c r="C59" s="2" t="s">
        <v>14</v>
      </c>
      <c r="D59" s="2" t="s">
        <v>15</v>
      </c>
      <c r="E59" s="2" t="s">
        <v>2599</v>
      </c>
      <c r="F59" s="9">
        <v>46090</v>
      </c>
      <c r="G59" s="9">
        <v>46063</v>
      </c>
      <c r="H59" s="8">
        <v>99.99</v>
      </c>
      <c r="I59" s="8">
        <v>20.58</v>
      </c>
      <c r="J59" s="9">
        <v>46093</v>
      </c>
      <c r="K59" s="2" t="s">
        <v>2746</v>
      </c>
      <c r="L59" s="2" t="s">
        <v>17</v>
      </c>
    </row>
    <row r="60" spans="1:12">
      <c r="A60" s="2" t="s">
        <v>2747</v>
      </c>
      <c r="B60" s="2" t="s">
        <v>2748</v>
      </c>
      <c r="C60" s="2" t="s">
        <v>14</v>
      </c>
      <c r="D60" s="2" t="s">
        <v>15</v>
      </c>
      <c r="E60" s="2" t="s">
        <v>2727</v>
      </c>
      <c r="F60" s="9">
        <v>46091</v>
      </c>
      <c r="G60" s="9">
        <v>46063</v>
      </c>
      <c r="H60" s="8">
        <v>109.99</v>
      </c>
      <c r="I60" s="8">
        <v>11.32</v>
      </c>
      <c r="J60" s="9">
        <v>46094</v>
      </c>
      <c r="K60" s="2" t="s">
        <v>2749</v>
      </c>
      <c r="L60" s="2" t="s">
        <v>17</v>
      </c>
    </row>
    <row r="61" spans="1:12">
      <c r="A61" s="2" t="s">
        <v>2750</v>
      </c>
      <c r="B61" s="2" t="s">
        <v>2751</v>
      </c>
      <c r="C61" s="2" t="s">
        <v>14</v>
      </c>
      <c r="D61" s="2" t="s">
        <v>15</v>
      </c>
      <c r="E61" s="2" t="s">
        <v>16</v>
      </c>
      <c r="F61" s="9">
        <v>46090</v>
      </c>
      <c r="G61" s="9">
        <v>46063</v>
      </c>
      <c r="H61" s="8">
        <v>29.08</v>
      </c>
      <c r="I61" s="8">
        <v>29.08</v>
      </c>
      <c r="J61" s="9"/>
      <c r="K61" s="2"/>
      <c r="L61" s="2" t="s">
        <v>17</v>
      </c>
    </row>
    <row r="62" spans="1:12">
      <c r="A62" s="2" t="s">
        <v>2752</v>
      </c>
      <c r="B62" s="2" t="s">
        <v>2753</v>
      </c>
      <c r="C62" s="2" t="s">
        <v>14</v>
      </c>
      <c r="D62" s="2" t="s">
        <v>15</v>
      </c>
      <c r="E62" s="2" t="s">
        <v>2742</v>
      </c>
      <c r="F62" s="9">
        <v>46101</v>
      </c>
      <c r="G62" s="9">
        <v>46063</v>
      </c>
      <c r="H62" s="8">
        <v>99.99</v>
      </c>
      <c r="I62" s="8">
        <v>30</v>
      </c>
      <c r="J62" s="9">
        <v>46105</v>
      </c>
      <c r="K62" s="2" t="s">
        <v>2754</v>
      </c>
      <c r="L62" s="2" t="s">
        <v>17</v>
      </c>
    </row>
    <row r="63" spans="1:12">
      <c r="A63" s="2" t="s">
        <v>2755</v>
      </c>
      <c r="B63" s="2" t="s">
        <v>2756</v>
      </c>
      <c r="C63" s="2" t="s">
        <v>14</v>
      </c>
      <c r="D63" s="2" t="s">
        <v>15</v>
      </c>
      <c r="E63" s="2" t="s">
        <v>58</v>
      </c>
      <c r="F63" s="9">
        <v>46093</v>
      </c>
      <c r="G63" s="9">
        <v>46063</v>
      </c>
      <c r="H63" s="8">
        <v>109.99</v>
      </c>
      <c r="I63" s="8">
        <v>31.88</v>
      </c>
      <c r="J63" s="9">
        <v>46098</v>
      </c>
      <c r="K63" s="2" t="s">
        <v>2757</v>
      </c>
      <c r="L63" s="2" t="s">
        <v>17</v>
      </c>
    </row>
    <row r="64" spans="1:12">
      <c r="A64" s="2" t="s">
        <v>2758</v>
      </c>
      <c r="B64" s="2" t="s">
        <v>2759</v>
      </c>
      <c r="C64" s="2" t="s">
        <v>14</v>
      </c>
      <c r="D64" s="2" t="s">
        <v>15</v>
      </c>
      <c r="E64" s="2" t="s">
        <v>55</v>
      </c>
      <c r="F64" s="9">
        <v>46097</v>
      </c>
      <c r="G64" s="9">
        <v>46063</v>
      </c>
      <c r="H64" s="8">
        <v>109.99</v>
      </c>
      <c r="I64" s="8">
        <v>25</v>
      </c>
      <c r="J64" s="9">
        <v>46099</v>
      </c>
      <c r="K64" s="2" t="s">
        <v>2760</v>
      </c>
      <c r="L64" s="2" t="s">
        <v>17</v>
      </c>
    </row>
    <row r="65" spans="1:12">
      <c r="A65" s="2" t="s">
        <v>2761</v>
      </c>
      <c r="B65" s="2" t="s">
        <v>2762</v>
      </c>
      <c r="C65" s="2" t="s">
        <v>14</v>
      </c>
      <c r="D65" s="2" t="s">
        <v>15</v>
      </c>
      <c r="E65" s="2" t="s">
        <v>2633</v>
      </c>
      <c r="F65" s="9">
        <v>46099</v>
      </c>
      <c r="G65" s="9">
        <v>46063</v>
      </c>
      <c r="H65" s="8">
        <v>121.74</v>
      </c>
      <c r="I65" s="8">
        <v>31.4</v>
      </c>
      <c r="J65" s="9">
        <v>46103</v>
      </c>
      <c r="K65" s="2" t="s">
        <v>2763</v>
      </c>
      <c r="L65" s="2" t="s">
        <v>17</v>
      </c>
    </row>
    <row r="66" spans="1:12">
      <c r="A66" s="2" t="s">
        <v>2764</v>
      </c>
      <c r="B66" s="2" t="s">
        <v>2765</v>
      </c>
      <c r="C66" s="2" t="s">
        <v>14</v>
      </c>
      <c r="D66" s="2" t="s">
        <v>15</v>
      </c>
      <c r="E66" s="2" t="s">
        <v>2686</v>
      </c>
      <c r="F66" s="9">
        <v>46092</v>
      </c>
      <c r="G66" s="9">
        <v>46063</v>
      </c>
      <c r="H66" s="8">
        <v>109.99</v>
      </c>
      <c r="I66" s="8">
        <v>26.36</v>
      </c>
      <c r="J66" s="9">
        <v>46095</v>
      </c>
      <c r="K66" s="2" t="s">
        <v>2766</v>
      </c>
      <c r="L66" s="2" t="s">
        <v>17</v>
      </c>
    </row>
    <row r="67" spans="1:12">
      <c r="A67" s="2" t="s">
        <v>2767</v>
      </c>
      <c r="B67" s="2" t="s">
        <v>2768</v>
      </c>
      <c r="C67" s="2" t="s">
        <v>14</v>
      </c>
      <c r="D67" s="2" t="s">
        <v>15</v>
      </c>
      <c r="E67" s="2" t="s">
        <v>16</v>
      </c>
      <c r="F67" s="9">
        <v>46090</v>
      </c>
      <c r="G67" s="9">
        <v>46063</v>
      </c>
      <c r="H67" s="8">
        <v>2.0499999999999998</v>
      </c>
      <c r="I67" s="8">
        <v>2.0499999999999998</v>
      </c>
      <c r="J67" s="9"/>
      <c r="K67" s="2"/>
      <c r="L67" s="2" t="s">
        <v>17</v>
      </c>
    </row>
    <row r="68" spans="1:12">
      <c r="A68" s="2" t="s">
        <v>157</v>
      </c>
      <c r="B68" s="2" t="s">
        <v>158</v>
      </c>
      <c r="C68" s="2" t="s">
        <v>14</v>
      </c>
      <c r="D68" s="2" t="s">
        <v>15</v>
      </c>
      <c r="E68" s="2" t="s">
        <v>16</v>
      </c>
      <c r="F68" s="9">
        <v>46090</v>
      </c>
      <c r="G68" s="9">
        <v>46063</v>
      </c>
      <c r="H68" s="8">
        <v>17.760000000000002</v>
      </c>
      <c r="I68" s="8">
        <v>17.760000000000002</v>
      </c>
      <c r="J68" s="9"/>
      <c r="K68" s="2"/>
      <c r="L68" s="2" t="s">
        <v>17</v>
      </c>
    </row>
    <row r="69" spans="1:12">
      <c r="A69" s="2" t="s">
        <v>2769</v>
      </c>
      <c r="B69" s="2" t="s">
        <v>2770</v>
      </c>
      <c r="C69" s="2" t="s">
        <v>14</v>
      </c>
      <c r="D69" s="2" t="s">
        <v>15</v>
      </c>
      <c r="E69" s="2" t="s">
        <v>2771</v>
      </c>
      <c r="F69" s="9">
        <v>46091</v>
      </c>
      <c r="G69" s="9">
        <v>46063</v>
      </c>
      <c r="H69" s="8">
        <v>111.32</v>
      </c>
      <c r="I69" s="8">
        <v>22.32</v>
      </c>
      <c r="J69" s="9">
        <v>46094</v>
      </c>
      <c r="K69" s="2" t="s">
        <v>2772</v>
      </c>
      <c r="L69" s="2" t="s">
        <v>17</v>
      </c>
    </row>
    <row r="70" spans="1:12">
      <c r="A70" s="2" t="s">
        <v>2773</v>
      </c>
      <c r="B70" s="2" t="s">
        <v>2774</v>
      </c>
      <c r="C70" s="2" t="s">
        <v>14</v>
      </c>
      <c r="D70" s="2" t="s">
        <v>15</v>
      </c>
      <c r="E70" s="2" t="s">
        <v>16</v>
      </c>
      <c r="F70" s="9">
        <v>46090</v>
      </c>
      <c r="G70" s="9">
        <v>46063</v>
      </c>
      <c r="H70" s="8">
        <v>14.22</v>
      </c>
      <c r="I70" s="8">
        <v>14.22</v>
      </c>
      <c r="J70" s="9"/>
      <c r="K70" s="2"/>
      <c r="L70" s="2" t="s">
        <v>17</v>
      </c>
    </row>
    <row r="71" spans="1:12">
      <c r="A71" s="2" t="s">
        <v>2775</v>
      </c>
      <c r="B71" s="2" t="s">
        <v>2776</v>
      </c>
      <c r="C71" s="2" t="s">
        <v>14</v>
      </c>
      <c r="D71" s="2" t="s">
        <v>15</v>
      </c>
      <c r="E71" s="2" t="s">
        <v>2574</v>
      </c>
      <c r="F71" s="9">
        <v>46091</v>
      </c>
      <c r="G71" s="9">
        <v>46063</v>
      </c>
      <c r="H71" s="8">
        <v>102.21</v>
      </c>
      <c r="I71" s="8">
        <v>31.99</v>
      </c>
      <c r="J71" s="9">
        <v>46094</v>
      </c>
      <c r="K71" s="2" t="s">
        <v>2777</v>
      </c>
      <c r="L71" s="2" t="s">
        <v>17</v>
      </c>
    </row>
    <row r="72" spans="1:12">
      <c r="A72" s="14" t="s">
        <v>2778</v>
      </c>
      <c r="B72" s="2" t="s">
        <v>2779</v>
      </c>
      <c r="C72" s="2" t="s">
        <v>14</v>
      </c>
      <c r="D72" s="2" t="s">
        <v>15</v>
      </c>
      <c r="E72" s="2" t="s">
        <v>2629</v>
      </c>
      <c r="F72" s="9">
        <v>46090</v>
      </c>
      <c r="G72" s="9">
        <v>46063</v>
      </c>
      <c r="H72" s="8">
        <v>99.99</v>
      </c>
      <c r="I72" s="8">
        <v>38.28</v>
      </c>
      <c r="J72" s="9">
        <v>46094</v>
      </c>
      <c r="K72" s="2" t="s">
        <v>2780</v>
      </c>
      <c r="L72" s="2" t="s">
        <v>17</v>
      </c>
    </row>
    <row r="73" spans="1:12">
      <c r="A73" s="2" t="s">
        <v>2781</v>
      </c>
      <c r="B73" s="2" t="s">
        <v>2782</v>
      </c>
      <c r="C73" s="2" t="s">
        <v>14</v>
      </c>
      <c r="D73" s="2" t="s">
        <v>15</v>
      </c>
      <c r="E73" s="2" t="s">
        <v>16</v>
      </c>
      <c r="F73" s="9">
        <v>46090</v>
      </c>
      <c r="G73" s="9">
        <v>46063</v>
      </c>
      <c r="H73" s="8">
        <v>7.11</v>
      </c>
      <c r="I73" s="8">
        <v>7.11</v>
      </c>
      <c r="J73" s="9"/>
      <c r="K73" s="2"/>
      <c r="L73" s="2" t="s">
        <v>17</v>
      </c>
    </row>
    <row r="74" spans="1:12">
      <c r="A74" s="2" t="s">
        <v>2783</v>
      </c>
      <c r="B74" s="2" t="s">
        <v>2784</v>
      </c>
      <c r="C74" s="2" t="s">
        <v>14</v>
      </c>
      <c r="D74" s="2" t="s">
        <v>15</v>
      </c>
      <c r="E74" s="2" t="s">
        <v>2663</v>
      </c>
      <c r="F74" s="9">
        <v>46097</v>
      </c>
      <c r="G74" s="9">
        <v>46063</v>
      </c>
      <c r="H74" s="8">
        <v>74.23</v>
      </c>
      <c r="I74" s="8">
        <v>30.38</v>
      </c>
      <c r="J74" s="9">
        <v>46101</v>
      </c>
      <c r="K74" s="2" t="s">
        <v>2785</v>
      </c>
      <c r="L74" s="2" t="s">
        <v>17</v>
      </c>
    </row>
    <row r="75" spans="1:12">
      <c r="A75" s="2" t="s">
        <v>2786</v>
      </c>
      <c r="B75" s="2" t="s">
        <v>2787</v>
      </c>
      <c r="C75" s="2" t="s">
        <v>14</v>
      </c>
      <c r="D75" s="2" t="s">
        <v>15</v>
      </c>
      <c r="E75" s="2" t="s">
        <v>2788</v>
      </c>
      <c r="F75" s="9">
        <v>46091</v>
      </c>
      <c r="G75" s="9">
        <v>46063</v>
      </c>
      <c r="H75" s="8">
        <v>99.99</v>
      </c>
      <c r="I75" s="8">
        <v>30.88</v>
      </c>
      <c r="J75" s="9">
        <v>46094</v>
      </c>
      <c r="K75" s="2" t="s">
        <v>2789</v>
      </c>
      <c r="L75" s="2" t="s">
        <v>17</v>
      </c>
    </row>
    <row r="76" spans="1:12">
      <c r="A76" s="2" t="s">
        <v>2790</v>
      </c>
      <c r="B76" s="2" t="s">
        <v>2791</v>
      </c>
      <c r="C76" s="2" t="s">
        <v>14</v>
      </c>
      <c r="D76" s="2" t="s">
        <v>15</v>
      </c>
      <c r="E76" s="2" t="s">
        <v>2792</v>
      </c>
      <c r="F76" s="9">
        <v>46092</v>
      </c>
      <c r="G76" s="9">
        <v>46063</v>
      </c>
      <c r="H76" s="8">
        <v>99.99</v>
      </c>
      <c r="I76" s="8">
        <v>15.48</v>
      </c>
      <c r="J76" s="9">
        <v>46095</v>
      </c>
      <c r="K76" s="2" t="s">
        <v>2793</v>
      </c>
      <c r="L76" s="2" t="s">
        <v>17</v>
      </c>
    </row>
    <row r="77" spans="1:12">
      <c r="A77" s="2" t="s">
        <v>2794</v>
      </c>
      <c r="B77" s="2" t="s">
        <v>2795</v>
      </c>
      <c r="C77" s="2" t="s">
        <v>14</v>
      </c>
      <c r="D77" s="2" t="s">
        <v>15</v>
      </c>
      <c r="E77" s="2" t="s">
        <v>2796</v>
      </c>
      <c r="F77" s="9">
        <v>46090</v>
      </c>
      <c r="G77" s="9">
        <v>46063</v>
      </c>
      <c r="H77" s="8">
        <v>99.99</v>
      </c>
      <c r="I77" s="8">
        <v>26.03</v>
      </c>
      <c r="J77" s="9">
        <v>46094</v>
      </c>
      <c r="K77" s="2" t="s">
        <v>2797</v>
      </c>
      <c r="L77" s="2" t="s">
        <v>17</v>
      </c>
    </row>
    <row r="78" spans="1:12">
      <c r="A78" s="14" t="s">
        <v>2798</v>
      </c>
      <c r="B78" s="2" t="s">
        <v>2799</v>
      </c>
      <c r="C78" s="2" t="s">
        <v>14</v>
      </c>
      <c r="D78" s="2" t="s">
        <v>15</v>
      </c>
      <c r="E78" s="2" t="s">
        <v>2771</v>
      </c>
      <c r="F78" s="9">
        <v>46090</v>
      </c>
      <c r="G78" s="9">
        <v>46063</v>
      </c>
      <c r="H78" s="8">
        <v>99.99</v>
      </c>
      <c r="I78" s="8">
        <v>20</v>
      </c>
      <c r="J78" s="9">
        <v>46094</v>
      </c>
      <c r="K78" s="2" t="s">
        <v>2800</v>
      </c>
      <c r="L78" s="2" t="s">
        <v>17</v>
      </c>
    </row>
    <row r="79" spans="1:12">
      <c r="A79" s="2" t="s">
        <v>2801</v>
      </c>
      <c r="B79" s="2" t="s">
        <v>2802</v>
      </c>
      <c r="C79" s="2" t="s">
        <v>14</v>
      </c>
      <c r="D79" s="2" t="s">
        <v>15</v>
      </c>
      <c r="E79" s="2" t="s">
        <v>2690</v>
      </c>
      <c r="F79" s="9">
        <v>46091</v>
      </c>
      <c r="G79" s="9">
        <v>46063</v>
      </c>
      <c r="H79" s="8">
        <v>99.99</v>
      </c>
      <c r="I79" s="8">
        <v>20</v>
      </c>
      <c r="J79" s="9">
        <v>46094</v>
      </c>
      <c r="K79" s="2" t="s">
        <v>2803</v>
      </c>
      <c r="L79" s="2" t="s">
        <v>17</v>
      </c>
    </row>
    <row r="80" spans="1:12">
      <c r="A80" s="2" t="s">
        <v>2804</v>
      </c>
      <c r="B80" s="2" t="s">
        <v>2805</v>
      </c>
      <c r="C80" s="2" t="s">
        <v>14</v>
      </c>
      <c r="D80" s="2" t="s">
        <v>15</v>
      </c>
      <c r="E80" s="2" t="s">
        <v>55</v>
      </c>
      <c r="F80" s="9">
        <v>46091</v>
      </c>
      <c r="G80" s="9">
        <v>46063</v>
      </c>
      <c r="H80" s="8">
        <v>109.99</v>
      </c>
      <c r="I80" s="8">
        <v>33.96</v>
      </c>
      <c r="J80" s="9">
        <v>46094</v>
      </c>
      <c r="K80" s="2" t="s">
        <v>2806</v>
      </c>
      <c r="L80" s="2" t="s">
        <v>17</v>
      </c>
    </row>
    <row r="81" spans="1:12">
      <c r="A81" s="2" t="s">
        <v>2807</v>
      </c>
      <c r="B81" s="2" t="s">
        <v>2808</v>
      </c>
      <c r="C81" s="2" t="s">
        <v>14</v>
      </c>
      <c r="D81" s="2" t="s">
        <v>15</v>
      </c>
      <c r="E81" s="2" t="s">
        <v>58</v>
      </c>
      <c r="F81" s="9">
        <v>46097</v>
      </c>
      <c r="G81" s="9">
        <v>46063</v>
      </c>
      <c r="H81" s="8">
        <v>110</v>
      </c>
      <c r="I81" s="8">
        <v>33.21</v>
      </c>
      <c r="J81" s="9">
        <v>46102</v>
      </c>
      <c r="K81" s="2" t="s">
        <v>2809</v>
      </c>
      <c r="L81" s="2" t="s">
        <v>17</v>
      </c>
    </row>
    <row r="82" spans="1:12">
      <c r="A82" s="2" t="s">
        <v>2810</v>
      </c>
      <c r="B82" s="2" t="s">
        <v>2811</v>
      </c>
      <c r="C82" s="2" t="s">
        <v>14</v>
      </c>
      <c r="D82" s="2" t="s">
        <v>15</v>
      </c>
      <c r="E82" s="2" t="s">
        <v>2788</v>
      </c>
      <c r="F82" s="9">
        <v>46097</v>
      </c>
      <c r="G82" s="9">
        <v>46063</v>
      </c>
      <c r="H82" s="8">
        <v>109.99</v>
      </c>
      <c r="I82" s="8">
        <v>19.28</v>
      </c>
      <c r="J82" s="9">
        <v>46101</v>
      </c>
      <c r="K82" s="2" t="s">
        <v>2812</v>
      </c>
      <c r="L82" s="2" t="s">
        <v>17</v>
      </c>
    </row>
    <row r="83" spans="1:12">
      <c r="A83" s="14" t="s">
        <v>2813</v>
      </c>
      <c r="B83" s="2" t="s">
        <v>2814</v>
      </c>
      <c r="C83" s="2" t="s">
        <v>14</v>
      </c>
      <c r="D83" s="2" t="s">
        <v>15</v>
      </c>
      <c r="E83" s="2" t="s">
        <v>55</v>
      </c>
      <c r="F83" s="9">
        <v>46090</v>
      </c>
      <c r="G83" s="9">
        <v>46063</v>
      </c>
      <c r="H83" s="8">
        <v>169.99</v>
      </c>
      <c r="I83" s="8">
        <v>32.450000000000003</v>
      </c>
      <c r="J83" s="9">
        <v>46094</v>
      </c>
      <c r="K83" s="2" t="s">
        <v>2815</v>
      </c>
      <c r="L83" s="2" t="s">
        <v>17</v>
      </c>
    </row>
    <row r="84" spans="1:12">
      <c r="A84" s="2" t="s">
        <v>2816</v>
      </c>
      <c r="B84" s="2" t="s">
        <v>2817</v>
      </c>
      <c r="C84" s="2" t="s">
        <v>14</v>
      </c>
      <c r="D84" s="2" t="s">
        <v>15</v>
      </c>
      <c r="E84" s="2" t="s">
        <v>2727</v>
      </c>
      <c r="F84" s="9">
        <v>46091</v>
      </c>
      <c r="G84" s="9">
        <v>46063</v>
      </c>
      <c r="H84" s="8">
        <v>143.72</v>
      </c>
      <c r="I84" s="8">
        <v>29.59</v>
      </c>
      <c r="J84" s="9">
        <v>46094</v>
      </c>
      <c r="K84" s="2" t="s">
        <v>2818</v>
      </c>
      <c r="L84" s="2" t="s">
        <v>17</v>
      </c>
    </row>
    <row r="85" spans="1:12">
      <c r="A85" s="2" t="s">
        <v>2819</v>
      </c>
      <c r="B85" s="2" t="s">
        <v>2820</v>
      </c>
      <c r="C85" s="2" t="s">
        <v>14</v>
      </c>
      <c r="D85" s="2" t="s">
        <v>15</v>
      </c>
      <c r="E85" s="2" t="s">
        <v>2640</v>
      </c>
      <c r="F85" s="9">
        <v>46094</v>
      </c>
      <c r="G85" s="9">
        <v>46063</v>
      </c>
      <c r="H85" s="8">
        <v>129.99</v>
      </c>
      <c r="I85" s="8">
        <v>28.95</v>
      </c>
      <c r="J85" s="9">
        <v>46097</v>
      </c>
      <c r="K85" s="2" t="s">
        <v>2821</v>
      </c>
      <c r="L85" s="2" t="s">
        <v>17</v>
      </c>
    </row>
    <row r="86" spans="1:12">
      <c r="A86" s="2" t="s">
        <v>2822</v>
      </c>
      <c r="B86" s="2" t="s">
        <v>2823</v>
      </c>
      <c r="C86" s="2" t="s">
        <v>14</v>
      </c>
      <c r="D86" s="2" t="s">
        <v>15</v>
      </c>
      <c r="E86" s="2" t="s">
        <v>2771</v>
      </c>
      <c r="F86" s="9">
        <v>46094</v>
      </c>
      <c r="G86" s="9">
        <v>46063</v>
      </c>
      <c r="H86" s="8">
        <v>109.99</v>
      </c>
      <c r="I86" s="8">
        <v>41.2</v>
      </c>
      <c r="J86" s="9">
        <v>46097</v>
      </c>
      <c r="K86" s="2" t="s">
        <v>2824</v>
      </c>
      <c r="L86" s="2" t="s">
        <v>17</v>
      </c>
    </row>
    <row r="87" spans="1:12">
      <c r="A87" s="2" t="s">
        <v>2825</v>
      </c>
      <c r="B87" s="2" t="s">
        <v>2826</v>
      </c>
      <c r="C87" s="2" t="s">
        <v>14</v>
      </c>
      <c r="D87" s="2" t="s">
        <v>15</v>
      </c>
      <c r="E87" s="2" t="s">
        <v>2591</v>
      </c>
      <c r="F87" s="9">
        <v>46094</v>
      </c>
      <c r="G87" s="9">
        <v>46063</v>
      </c>
      <c r="H87" s="8">
        <v>119.99</v>
      </c>
      <c r="I87" s="8">
        <v>30.25</v>
      </c>
      <c r="J87" s="9">
        <v>46099</v>
      </c>
      <c r="K87" s="2" t="s">
        <v>2827</v>
      </c>
      <c r="L87" s="2" t="s">
        <v>17</v>
      </c>
    </row>
    <row r="88" spans="1:12">
      <c r="A88" s="2" t="s">
        <v>2828</v>
      </c>
      <c r="B88" s="2" t="s">
        <v>2829</v>
      </c>
      <c r="C88" s="2" t="s">
        <v>14</v>
      </c>
      <c r="D88" s="2" t="s">
        <v>15</v>
      </c>
      <c r="E88" s="2" t="s">
        <v>55</v>
      </c>
      <c r="F88" s="9">
        <v>46097</v>
      </c>
      <c r="G88" s="9">
        <v>46063</v>
      </c>
      <c r="H88" s="8">
        <v>119.99</v>
      </c>
      <c r="I88" s="8">
        <v>31.96</v>
      </c>
      <c r="J88" s="9">
        <v>46102</v>
      </c>
      <c r="K88" s="2" t="s">
        <v>2830</v>
      </c>
      <c r="L88" s="2" t="s">
        <v>17</v>
      </c>
    </row>
    <row r="89" spans="1:12">
      <c r="A89" s="2" t="s">
        <v>2831</v>
      </c>
      <c r="B89" s="2" t="s">
        <v>2832</v>
      </c>
      <c r="C89" s="2" t="s">
        <v>14</v>
      </c>
      <c r="D89" s="2" t="s">
        <v>15</v>
      </c>
      <c r="E89" s="2" t="s">
        <v>58</v>
      </c>
      <c r="F89" s="9">
        <v>46121</v>
      </c>
      <c r="G89" s="9">
        <v>46063</v>
      </c>
      <c r="H89" s="8">
        <v>109.99</v>
      </c>
      <c r="I89" s="8">
        <v>61.42</v>
      </c>
      <c r="J89" s="9">
        <v>46125</v>
      </c>
      <c r="K89" s="2" t="s">
        <v>2833</v>
      </c>
      <c r="L89" s="2" t="s">
        <v>17</v>
      </c>
    </row>
    <row r="90" spans="1:12">
      <c r="A90" s="2" t="s">
        <v>2834</v>
      </c>
      <c r="B90" s="2" t="s">
        <v>2835</v>
      </c>
      <c r="C90" s="2" t="s">
        <v>14</v>
      </c>
      <c r="D90" s="2" t="s">
        <v>15</v>
      </c>
      <c r="E90" s="2" t="s">
        <v>2610</v>
      </c>
      <c r="F90" s="9">
        <v>46094</v>
      </c>
      <c r="G90" s="9">
        <v>46063</v>
      </c>
      <c r="H90" s="8">
        <v>139.36000000000001</v>
      </c>
      <c r="I90" s="8">
        <v>30</v>
      </c>
      <c r="J90" s="9">
        <v>46099</v>
      </c>
      <c r="K90" s="2" t="s">
        <v>2836</v>
      </c>
      <c r="L90" s="2" t="s">
        <v>17</v>
      </c>
    </row>
    <row r="91" spans="1:12">
      <c r="A91" s="2" t="s">
        <v>2837</v>
      </c>
      <c r="B91" s="2" t="s">
        <v>2838</v>
      </c>
      <c r="C91" s="2" t="s">
        <v>14</v>
      </c>
      <c r="D91" s="2" t="s">
        <v>15</v>
      </c>
      <c r="E91" s="2" t="s">
        <v>58</v>
      </c>
      <c r="F91" s="9">
        <v>46094</v>
      </c>
      <c r="G91" s="9">
        <v>46063</v>
      </c>
      <c r="H91" s="8">
        <v>143.72</v>
      </c>
      <c r="I91" s="8">
        <v>25.17</v>
      </c>
      <c r="J91" s="9">
        <v>46097</v>
      </c>
      <c r="K91" s="24" t="s">
        <v>2839</v>
      </c>
      <c r="L91" s="2" t="s">
        <v>17</v>
      </c>
    </row>
    <row r="92" spans="1:12">
      <c r="A92" s="2" t="s">
        <v>2840</v>
      </c>
      <c r="B92" s="2" t="s">
        <v>2841</v>
      </c>
      <c r="C92" s="2" t="s">
        <v>14</v>
      </c>
      <c r="D92" s="2" t="s">
        <v>15</v>
      </c>
      <c r="E92" s="2" t="s">
        <v>2771</v>
      </c>
      <c r="F92" s="9">
        <v>46094</v>
      </c>
      <c r="G92" s="9">
        <v>46063</v>
      </c>
      <c r="H92" s="8">
        <v>109.99</v>
      </c>
      <c r="I92" s="8">
        <v>21.73</v>
      </c>
      <c r="J92" s="9">
        <v>46097</v>
      </c>
      <c r="K92" s="24" t="s">
        <v>2842</v>
      </c>
      <c r="L92" s="2" t="s">
        <v>17</v>
      </c>
    </row>
    <row r="93" spans="1:12">
      <c r="A93" s="2" t="s">
        <v>2843</v>
      </c>
      <c r="B93" s="2" t="s">
        <v>2844</v>
      </c>
      <c r="C93" s="2" t="s">
        <v>14</v>
      </c>
      <c r="D93" s="2" t="s">
        <v>15</v>
      </c>
      <c r="E93" s="2" t="s">
        <v>2663</v>
      </c>
      <c r="F93" s="9">
        <v>46097</v>
      </c>
      <c r="G93" s="9">
        <v>46063</v>
      </c>
      <c r="H93" s="8">
        <v>109.99</v>
      </c>
      <c r="I93" s="8">
        <v>25.82</v>
      </c>
      <c r="J93" s="9">
        <v>46101</v>
      </c>
      <c r="K93" s="24" t="s">
        <v>2845</v>
      </c>
      <c r="L93" s="2" t="s">
        <v>17</v>
      </c>
    </row>
    <row r="94" spans="1:12">
      <c r="A94" s="2" t="s">
        <v>2846</v>
      </c>
      <c r="B94" s="2" t="s">
        <v>2847</v>
      </c>
      <c r="C94" s="2" t="s">
        <v>14</v>
      </c>
      <c r="D94" s="2" t="s">
        <v>15</v>
      </c>
      <c r="E94" s="2" t="s">
        <v>2727</v>
      </c>
      <c r="F94" s="9">
        <v>46094</v>
      </c>
      <c r="G94" s="9">
        <v>46063</v>
      </c>
      <c r="H94" s="8">
        <v>109.99</v>
      </c>
      <c r="I94" s="8">
        <v>37.270000000000003</v>
      </c>
      <c r="J94" s="9">
        <v>46097</v>
      </c>
      <c r="K94" s="24" t="s">
        <v>2848</v>
      </c>
      <c r="L94" s="2" t="s">
        <v>17</v>
      </c>
    </row>
    <row r="95" spans="1:12">
      <c r="A95" s="2" t="s">
        <v>2849</v>
      </c>
      <c r="B95" s="2" t="s">
        <v>2850</v>
      </c>
      <c r="C95" s="2" t="s">
        <v>14</v>
      </c>
      <c r="D95" s="2" t="s">
        <v>15</v>
      </c>
      <c r="E95" s="2" t="s">
        <v>2851</v>
      </c>
      <c r="F95" s="9">
        <v>46094</v>
      </c>
      <c r="G95" s="9">
        <v>46063</v>
      </c>
      <c r="H95" s="8">
        <v>119.99</v>
      </c>
      <c r="I95" s="8">
        <v>38.68</v>
      </c>
      <c r="J95" s="9">
        <v>46098</v>
      </c>
      <c r="K95" s="24" t="s">
        <v>2852</v>
      </c>
      <c r="L95" s="2" t="s">
        <v>17</v>
      </c>
    </row>
    <row r="96" spans="1:12">
      <c r="A96" s="2" t="s">
        <v>2853</v>
      </c>
      <c r="B96" s="2" t="s">
        <v>2854</v>
      </c>
      <c r="C96" s="2" t="s">
        <v>14</v>
      </c>
      <c r="D96" s="2" t="s">
        <v>15</v>
      </c>
      <c r="E96" s="2" t="s">
        <v>55</v>
      </c>
      <c r="F96" s="9">
        <v>46094</v>
      </c>
      <c r="G96" s="9">
        <v>46063</v>
      </c>
      <c r="H96" s="8">
        <v>139.99</v>
      </c>
      <c r="I96" s="8">
        <v>28.85</v>
      </c>
      <c r="J96" s="9">
        <v>46097</v>
      </c>
      <c r="K96" s="2" t="s">
        <v>2855</v>
      </c>
      <c r="L96" s="2" t="s">
        <v>17</v>
      </c>
    </row>
    <row r="97" spans="1:12">
      <c r="A97" s="2" t="s">
        <v>2856</v>
      </c>
      <c r="B97" s="2" t="s">
        <v>2857</v>
      </c>
      <c r="C97" s="2" t="s">
        <v>14</v>
      </c>
      <c r="D97" s="2" t="s">
        <v>15</v>
      </c>
      <c r="E97" s="2" t="s">
        <v>2633</v>
      </c>
      <c r="F97" s="9">
        <v>46105</v>
      </c>
      <c r="G97" s="9">
        <v>46063</v>
      </c>
      <c r="H97" s="8">
        <v>99.99</v>
      </c>
      <c r="I97" s="8">
        <v>43.43</v>
      </c>
      <c r="J97" s="9">
        <v>46110</v>
      </c>
      <c r="K97" s="2" t="s">
        <v>2858</v>
      </c>
      <c r="L97" s="2" t="s">
        <v>17</v>
      </c>
    </row>
    <row r="98" spans="1:12">
      <c r="A98" s="2" t="s">
        <v>2859</v>
      </c>
      <c r="B98" s="2" t="s">
        <v>2860</v>
      </c>
      <c r="C98" s="2" t="s">
        <v>14</v>
      </c>
      <c r="D98" s="2" t="s">
        <v>15</v>
      </c>
      <c r="E98" s="2" t="s">
        <v>55</v>
      </c>
      <c r="F98" s="9">
        <v>46094</v>
      </c>
      <c r="G98" s="9">
        <v>46063</v>
      </c>
      <c r="H98" s="8">
        <v>64.569999999999993</v>
      </c>
      <c r="I98" s="8">
        <v>25</v>
      </c>
      <c r="J98" s="9">
        <v>46099</v>
      </c>
      <c r="K98" s="2" t="s">
        <v>2861</v>
      </c>
      <c r="L98" s="2" t="s">
        <v>17</v>
      </c>
    </row>
    <row r="99" spans="1:12">
      <c r="A99" s="2" t="s">
        <v>2862</v>
      </c>
      <c r="B99" s="2" t="s">
        <v>2863</v>
      </c>
      <c r="C99" s="2" t="s">
        <v>14</v>
      </c>
      <c r="D99" s="2" t="s">
        <v>15</v>
      </c>
      <c r="E99" s="2" t="s">
        <v>2864</v>
      </c>
      <c r="F99" s="9">
        <v>46094</v>
      </c>
      <c r="G99" s="9">
        <v>46063</v>
      </c>
      <c r="H99" s="8">
        <v>109.99</v>
      </c>
      <c r="I99" s="8">
        <v>25</v>
      </c>
      <c r="J99" s="9">
        <v>46098</v>
      </c>
      <c r="K99" s="2" t="s">
        <v>2865</v>
      </c>
      <c r="L99" s="2" t="s">
        <v>17</v>
      </c>
    </row>
    <row r="100" spans="1:12">
      <c r="A100" s="2" t="s">
        <v>2866</v>
      </c>
      <c r="B100" s="2" t="s">
        <v>2867</v>
      </c>
      <c r="C100" s="2" t="s">
        <v>14</v>
      </c>
      <c r="D100" s="2" t="s">
        <v>15</v>
      </c>
      <c r="E100" s="2" t="s">
        <v>55</v>
      </c>
      <c r="F100" s="9">
        <v>46111</v>
      </c>
      <c r="G100" s="9">
        <v>46063</v>
      </c>
      <c r="H100" s="8">
        <v>112.99</v>
      </c>
      <c r="I100" s="8">
        <v>50</v>
      </c>
      <c r="J100" s="9">
        <v>46115</v>
      </c>
      <c r="K100" s="2" t="s">
        <v>2868</v>
      </c>
      <c r="L100" s="2" t="s">
        <v>17</v>
      </c>
    </row>
    <row r="101" spans="1:12">
      <c r="A101" s="2" t="s">
        <v>2869</v>
      </c>
      <c r="B101" s="2" t="s">
        <v>2870</v>
      </c>
      <c r="C101" s="2" t="s">
        <v>14</v>
      </c>
      <c r="D101" s="2" t="s">
        <v>15</v>
      </c>
      <c r="E101" s="2" t="s">
        <v>16</v>
      </c>
      <c r="F101" s="9">
        <v>46097</v>
      </c>
      <c r="G101" s="9">
        <v>46063</v>
      </c>
      <c r="H101" s="8">
        <v>7.11</v>
      </c>
      <c r="I101" s="8"/>
      <c r="J101" s="9"/>
      <c r="K101" s="2"/>
      <c r="L101" s="2" t="s">
        <v>17</v>
      </c>
    </row>
    <row r="102" spans="1:12">
      <c r="A102" s="2" t="s">
        <v>2871</v>
      </c>
      <c r="B102" s="2" t="s">
        <v>2872</v>
      </c>
      <c r="C102" s="2" t="s">
        <v>14</v>
      </c>
      <c r="D102" s="2" t="s">
        <v>15</v>
      </c>
      <c r="E102" s="2" t="s">
        <v>23</v>
      </c>
      <c r="F102" s="9">
        <v>46118</v>
      </c>
      <c r="G102" s="9">
        <v>46063</v>
      </c>
      <c r="H102" s="8">
        <v>109.99</v>
      </c>
      <c r="I102" s="8">
        <v>57.35</v>
      </c>
      <c r="J102" s="9">
        <v>46123</v>
      </c>
      <c r="K102" s="2" t="s">
        <v>2873</v>
      </c>
      <c r="L102" s="2" t="s">
        <v>17</v>
      </c>
    </row>
    <row r="103" spans="1:12">
      <c r="A103" s="2" t="s">
        <v>2874</v>
      </c>
      <c r="B103" s="2" t="s">
        <v>2875</v>
      </c>
      <c r="C103" s="2" t="s">
        <v>14</v>
      </c>
      <c r="D103" s="2" t="s">
        <v>15</v>
      </c>
      <c r="E103" s="2" t="s">
        <v>16</v>
      </c>
      <c r="F103" s="9">
        <v>46097</v>
      </c>
      <c r="G103" s="9">
        <v>46063</v>
      </c>
      <c r="H103" s="8">
        <v>6.48</v>
      </c>
      <c r="I103" s="8"/>
      <c r="J103" s="9"/>
      <c r="K103" s="2"/>
      <c r="L103" s="2" t="s">
        <v>17</v>
      </c>
    </row>
    <row r="104" spans="1:12">
      <c r="A104" s="2" t="s">
        <v>2876</v>
      </c>
      <c r="B104" s="2" t="s">
        <v>2877</v>
      </c>
      <c r="C104" s="2" t="s">
        <v>14</v>
      </c>
      <c r="D104" s="2" t="s">
        <v>15</v>
      </c>
      <c r="E104" s="2" t="s">
        <v>55</v>
      </c>
      <c r="F104" s="9">
        <v>46097</v>
      </c>
      <c r="G104" s="9">
        <v>46063</v>
      </c>
      <c r="H104" s="8">
        <v>87.14</v>
      </c>
      <c r="I104" s="8">
        <v>30</v>
      </c>
      <c r="J104" s="9">
        <v>46101</v>
      </c>
      <c r="K104" s="2" t="s">
        <v>2878</v>
      </c>
      <c r="L104" s="2" t="s">
        <v>17</v>
      </c>
    </row>
    <row r="105" spans="1:12">
      <c r="A105" s="2" t="s">
        <v>2879</v>
      </c>
      <c r="B105" s="2" t="s">
        <v>2880</v>
      </c>
      <c r="C105" s="2" t="s">
        <v>14</v>
      </c>
      <c r="D105" s="2" t="s">
        <v>15</v>
      </c>
      <c r="E105" s="2" t="s">
        <v>2654</v>
      </c>
      <c r="F105" s="9">
        <v>46094</v>
      </c>
      <c r="G105" s="9">
        <v>46063</v>
      </c>
      <c r="H105" s="8">
        <v>109.99</v>
      </c>
      <c r="I105" s="8">
        <v>21.73</v>
      </c>
      <c r="J105" s="9">
        <v>46098</v>
      </c>
      <c r="K105" s="2" t="s">
        <v>2881</v>
      </c>
      <c r="L105" s="2" t="s">
        <v>17</v>
      </c>
    </row>
    <row r="106" spans="1:12">
      <c r="A106" s="2" t="s">
        <v>2882</v>
      </c>
      <c r="B106" s="2" t="s">
        <v>2883</v>
      </c>
      <c r="C106" s="2" t="s">
        <v>14</v>
      </c>
      <c r="D106" s="2" t="s">
        <v>15</v>
      </c>
      <c r="E106" s="2" t="s">
        <v>2633</v>
      </c>
      <c r="F106" s="9">
        <v>46094</v>
      </c>
      <c r="G106" s="9">
        <v>46063</v>
      </c>
      <c r="H106" s="8">
        <v>119.99</v>
      </c>
      <c r="I106" s="8">
        <v>25</v>
      </c>
      <c r="J106" s="9">
        <v>46098</v>
      </c>
      <c r="K106" s="2" t="s">
        <v>2884</v>
      </c>
      <c r="L106" s="2" t="s">
        <v>17</v>
      </c>
    </row>
    <row r="107" spans="1:12">
      <c r="A107" s="2" t="s">
        <v>2885</v>
      </c>
      <c r="B107" s="2" t="s">
        <v>2886</v>
      </c>
      <c r="C107" s="2" t="s">
        <v>14</v>
      </c>
      <c r="D107" s="2" t="s">
        <v>15</v>
      </c>
      <c r="E107" s="2" t="s">
        <v>2629</v>
      </c>
      <c r="F107" s="9">
        <v>46097</v>
      </c>
      <c r="G107" s="9">
        <v>46063</v>
      </c>
      <c r="H107" s="8">
        <v>87.81</v>
      </c>
      <c r="I107" s="8">
        <v>30</v>
      </c>
      <c r="J107" s="9">
        <v>46099</v>
      </c>
      <c r="K107" s="2" t="s">
        <v>2887</v>
      </c>
      <c r="L107" s="2" t="s">
        <v>17</v>
      </c>
    </row>
    <row r="108" spans="1:12">
      <c r="A108" s="2" t="s">
        <v>2888</v>
      </c>
      <c r="B108" s="2" t="s">
        <v>2889</v>
      </c>
      <c r="C108" s="2" t="s">
        <v>14</v>
      </c>
      <c r="D108" s="2" t="s">
        <v>15</v>
      </c>
      <c r="E108" s="2" t="s">
        <v>2727</v>
      </c>
      <c r="F108" s="9">
        <v>46094</v>
      </c>
      <c r="G108" s="9">
        <v>46063</v>
      </c>
      <c r="H108" s="8">
        <v>120.46</v>
      </c>
      <c r="I108" s="8">
        <v>22.94</v>
      </c>
      <c r="J108" s="9">
        <v>46097</v>
      </c>
      <c r="K108" s="2" t="s">
        <v>2890</v>
      </c>
      <c r="L108" s="2" t="s">
        <v>17</v>
      </c>
    </row>
    <row r="109" spans="1:12">
      <c r="A109" s="2" t="s">
        <v>2891</v>
      </c>
      <c r="B109" s="2" t="s">
        <v>2892</v>
      </c>
      <c r="C109" s="2" t="s">
        <v>14</v>
      </c>
      <c r="D109" s="2" t="s">
        <v>15</v>
      </c>
      <c r="E109" s="2" t="s">
        <v>2893</v>
      </c>
      <c r="F109" s="9">
        <v>46097</v>
      </c>
      <c r="G109" s="9">
        <v>46063</v>
      </c>
      <c r="H109" s="8">
        <v>109.99</v>
      </c>
      <c r="I109" s="8">
        <v>25.64</v>
      </c>
      <c r="J109" s="9">
        <v>46101</v>
      </c>
      <c r="K109" s="2" t="s">
        <v>2894</v>
      </c>
      <c r="L109" s="2" t="s">
        <v>17</v>
      </c>
    </row>
    <row r="110" spans="1:12">
      <c r="A110" s="2" t="s">
        <v>2895</v>
      </c>
      <c r="B110" s="2" t="s">
        <v>2896</v>
      </c>
      <c r="C110" s="2" t="s">
        <v>14</v>
      </c>
      <c r="D110" s="2" t="s">
        <v>15</v>
      </c>
      <c r="E110" s="2" t="s">
        <v>2690</v>
      </c>
      <c r="F110" s="9">
        <v>46094</v>
      </c>
      <c r="G110" s="9">
        <v>46063</v>
      </c>
      <c r="H110" s="8">
        <v>99.99</v>
      </c>
      <c r="I110" s="8">
        <v>14.8</v>
      </c>
      <c r="J110" s="9">
        <v>46099</v>
      </c>
      <c r="K110" s="2" t="s">
        <v>2897</v>
      </c>
      <c r="L110" s="2" t="s">
        <v>17</v>
      </c>
    </row>
    <row r="111" spans="1:12">
      <c r="A111" s="2" t="s">
        <v>2898</v>
      </c>
      <c r="B111" s="2" t="s">
        <v>2899</v>
      </c>
      <c r="C111" s="2" t="s">
        <v>14</v>
      </c>
      <c r="D111" s="2" t="s">
        <v>15</v>
      </c>
      <c r="E111" s="2" t="s">
        <v>2686</v>
      </c>
      <c r="F111" s="9">
        <v>46097</v>
      </c>
      <c r="G111" s="9">
        <v>46063</v>
      </c>
      <c r="H111" s="8">
        <v>80.08</v>
      </c>
      <c r="I111" s="8">
        <v>27.97</v>
      </c>
      <c r="J111" s="9">
        <v>46101</v>
      </c>
      <c r="K111" s="2" t="s">
        <v>2900</v>
      </c>
      <c r="L111" s="2" t="s">
        <v>17</v>
      </c>
    </row>
    <row r="112" spans="1:12">
      <c r="A112" s="2" t="s">
        <v>2901</v>
      </c>
      <c r="B112" s="2" t="s">
        <v>2902</v>
      </c>
      <c r="C112" s="2" t="s">
        <v>14</v>
      </c>
      <c r="D112" s="2" t="s">
        <v>15</v>
      </c>
      <c r="E112" s="2" t="s">
        <v>16</v>
      </c>
      <c r="F112" s="9">
        <v>46097</v>
      </c>
      <c r="G112" s="9">
        <v>46063</v>
      </c>
      <c r="H112" s="8">
        <v>9.7100000000000009</v>
      </c>
      <c r="I112" s="8"/>
      <c r="J112" s="9"/>
      <c r="K112" s="2"/>
      <c r="L112" s="2" t="s">
        <v>17</v>
      </c>
    </row>
    <row r="113" spans="1:12">
      <c r="A113" s="2" t="s">
        <v>2903</v>
      </c>
      <c r="B113" s="2" t="s">
        <v>2904</v>
      </c>
      <c r="C113" s="2" t="s">
        <v>14</v>
      </c>
      <c r="D113" s="2" t="s">
        <v>15</v>
      </c>
      <c r="E113" s="2" t="s">
        <v>2703</v>
      </c>
      <c r="F113" s="9">
        <v>46097</v>
      </c>
      <c r="G113" s="9">
        <v>46063</v>
      </c>
      <c r="H113" s="8">
        <v>49.99</v>
      </c>
      <c r="I113" s="8">
        <v>27.8</v>
      </c>
      <c r="J113" s="9"/>
      <c r="K113" s="2" t="s">
        <v>2905</v>
      </c>
      <c r="L113" s="2" t="s">
        <v>17</v>
      </c>
    </row>
    <row r="114" spans="1:12">
      <c r="A114" s="2" t="s">
        <v>2906</v>
      </c>
      <c r="B114" s="2" t="s">
        <v>2907</v>
      </c>
      <c r="C114" s="2" t="s">
        <v>14</v>
      </c>
      <c r="D114" s="2" t="s">
        <v>15</v>
      </c>
      <c r="E114" s="2" t="s">
        <v>2742</v>
      </c>
      <c r="F114" s="9">
        <v>46098</v>
      </c>
      <c r="G114" s="9">
        <v>46063</v>
      </c>
      <c r="H114" s="8">
        <v>49.99</v>
      </c>
      <c r="I114" s="8">
        <v>18</v>
      </c>
      <c r="J114" s="9">
        <v>46101</v>
      </c>
      <c r="K114" s="2" t="s">
        <v>2908</v>
      </c>
      <c r="L114" s="2" t="s">
        <v>17</v>
      </c>
    </row>
    <row r="115" spans="1:12">
      <c r="A115" s="2" t="s">
        <v>2909</v>
      </c>
      <c r="B115" s="2" t="s">
        <v>2910</v>
      </c>
      <c r="C115" s="2" t="s">
        <v>14</v>
      </c>
      <c r="D115" s="2" t="s">
        <v>15</v>
      </c>
      <c r="E115" s="2" t="s">
        <v>16</v>
      </c>
      <c r="F115" s="9">
        <v>46097</v>
      </c>
      <c r="G115" s="9">
        <v>46063</v>
      </c>
      <c r="H115" s="8">
        <v>17.77</v>
      </c>
      <c r="I115" s="8"/>
      <c r="J115" s="9"/>
      <c r="K115" s="2"/>
      <c r="L115" s="2" t="s">
        <v>17</v>
      </c>
    </row>
    <row r="116" spans="1:12">
      <c r="A116" s="2" t="s">
        <v>460</v>
      </c>
      <c r="B116" s="2" t="s">
        <v>461</v>
      </c>
      <c r="C116" s="2" t="s">
        <v>14</v>
      </c>
      <c r="D116" s="2" t="s">
        <v>15</v>
      </c>
      <c r="E116" s="2" t="s">
        <v>16</v>
      </c>
      <c r="F116" s="9">
        <v>46097</v>
      </c>
      <c r="G116" s="9">
        <v>46063</v>
      </c>
      <c r="H116" s="8">
        <v>8.09</v>
      </c>
      <c r="I116" s="8"/>
      <c r="J116" s="9"/>
      <c r="K116" s="2"/>
      <c r="L116" s="2" t="s">
        <v>17</v>
      </c>
    </row>
    <row r="117" spans="1:12">
      <c r="A117" s="2" t="s">
        <v>2911</v>
      </c>
      <c r="B117" s="2" t="s">
        <v>2912</v>
      </c>
      <c r="C117" s="2" t="s">
        <v>14</v>
      </c>
      <c r="D117" s="2" t="s">
        <v>15</v>
      </c>
      <c r="E117" s="2" t="s">
        <v>2629</v>
      </c>
      <c r="F117" s="9">
        <v>46094</v>
      </c>
      <c r="G117" s="9">
        <v>46063</v>
      </c>
      <c r="H117" s="8">
        <v>143.96</v>
      </c>
      <c r="I117" s="8">
        <v>14.83</v>
      </c>
      <c r="J117" s="9">
        <v>46098</v>
      </c>
      <c r="K117" s="2" t="s">
        <v>2913</v>
      </c>
      <c r="L117" s="2" t="s">
        <v>17</v>
      </c>
    </row>
    <row r="118" spans="1:12">
      <c r="A118" s="2" t="s">
        <v>429</v>
      </c>
      <c r="B118" s="2" t="s">
        <v>430</v>
      </c>
      <c r="C118" s="2" t="s">
        <v>14</v>
      </c>
      <c r="D118" s="2" t="s">
        <v>15</v>
      </c>
      <c r="E118" s="2" t="s">
        <v>16</v>
      </c>
      <c r="F118" s="9">
        <v>46097</v>
      </c>
      <c r="G118" s="9">
        <v>46063</v>
      </c>
      <c r="H118" s="8">
        <v>4.8499999999999996</v>
      </c>
      <c r="I118" s="8"/>
      <c r="J118" s="9"/>
      <c r="K118" s="2"/>
      <c r="L118" s="2" t="s">
        <v>17</v>
      </c>
    </row>
    <row r="119" spans="1:12">
      <c r="A119" s="2" t="s">
        <v>2914</v>
      </c>
      <c r="B119" s="2" t="s">
        <v>2915</v>
      </c>
      <c r="C119" s="2" t="s">
        <v>14</v>
      </c>
      <c r="D119" s="2" t="s">
        <v>15</v>
      </c>
      <c r="E119" s="2" t="s">
        <v>2788</v>
      </c>
      <c r="F119" s="9">
        <v>46106</v>
      </c>
      <c r="G119" s="9">
        <v>46063</v>
      </c>
      <c r="H119" s="8">
        <v>49.99</v>
      </c>
      <c r="I119" s="8">
        <v>29.99</v>
      </c>
      <c r="J119" s="9">
        <v>46106</v>
      </c>
      <c r="K119" s="2" t="s">
        <v>2916</v>
      </c>
      <c r="L119" s="2" t="s">
        <v>17</v>
      </c>
    </row>
    <row r="120" spans="1:12">
      <c r="A120" s="2" t="s">
        <v>2917</v>
      </c>
      <c r="B120" s="2" t="s">
        <v>2918</v>
      </c>
      <c r="C120" s="2" t="s">
        <v>14</v>
      </c>
      <c r="D120" s="2" t="s">
        <v>15</v>
      </c>
      <c r="E120" s="2" t="s">
        <v>16</v>
      </c>
      <c r="F120" s="9">
        <v>46097</v>
      </c>
      <c r="G120" s="9">
        <v>46063</v>
      </c>
      <c r="H120" s="8">
        <v>26.63</v>
      </c>
      <c r="I120" s="8"/>
      <c r="J120" s="9"/>
      <c r="K120" s="2"/>
      <c r="L120" s="2" t="s">
        <v>17</v>
      </c>
    </row>
    <row r="121" spans="1:12">
      <c r="A121" s="2" t="s">
        <v>2919</v>
      </c>
      <c r="B121" s="2" t="s">
        <v>2920</v>
      </c>
      <c r="C121" s="2" t="s">
        <v>14</v>
      </c>
      <c r="D121" s="2" t="s">
        <v>15</v>
      </c>
      <c r="E121" s="2" t="s">
        <v>16</v>
      </c>
      <c r="F121" s="9">
        <v>46097</v>
      </c>
      <c r="G121" s="9">
        <v>46063</v>
      </c>
      <c r="H121" s="8">
        <v>3.88</v>
      </c>
      <c r="I121" s="8"/>
      <c r="J121" s="9"/>
      <c r="K121" s="2"/>
      <c r="L121" s="2" t="s">
        <v>17</v>
      </c>
    </row>
    <row r="122" spans="1:12">
      <c r="A122" s="2" t="s">
        <v>2921</v>
      </c>
      <c r="B122" s="2" t="s">
        <v>2922</v>
      </c>
      <c r="C122" s="2" t="s">
        <v>14</v>
      </c>
      <c r="D122" s="2" t="s">
        <v>15</v>
      </c>
      <c r="E122" s="2" t="s">
        <v>2771</v>
      </c>
      <c r="F122" s="9">
        <v>46094</v>
      </c>
      <c r="G122" s="9">
        <v>46063</v>
      </c>
      <c r="H122" s="8">
        <v>59.99</v>
      </c>
      <c r="I122" s="8">
        <v>21.73</v>
      </c>
      <c r="J122" s="9">
        <v>46097</v>
      </c>
      <c r="K122" s="2" t="s">
        <v>2923</v>
      </c>
      <c r="L122" s="2" t="s">
        <v>17</v>
      </c>
    </row>
    <row r="123" spans="1:12">
      <c r="A123" s="2" t="s">
        <v>2924</v>
      </c>
      <c r="B123" s="2" t="s">
        <v>2925</v>
      </c>
      <c r="C123" s="2" t="s">
        <v>14</v>
      </c>
      <c r="D123" s="2" t="s">
        <v>15</v>
      </c>
      <c r="E123" s="2" t="s">
        <v>16</v>
      </c>
      <c r="F123" s="9">
        <v>46097</v>
      </c>
      <c r="G123" s="9">
        <v>46063</v>
      </c>
      <c r="H123" s="8">
        <v>6.47</v>
      </c>
      <c r="I123" s="8"/>
      <c r="J123" s="9"/>
      <c r="K123" s="2"/>
      <c r="L123" s="2" t="s">
        <v>17</v>
      </c>
    </row>
    <row r="124" spans="1:12">
      <c r="A124" s="2" t="s">
        <v>2926</v>
      </c>
      <c r="B124" s="2" t="s">
        <v>2927</v>
      </c>
      <c r="C124" s="2" t="s">
        <v>14</v>
      </c>
      <c r="D124" s="2" t="s">
        <v>15</v>
      </c>
      <c r="E124" s="2" t="s">
        <v>16</v>
      </c>
      <c r="F124" s="9">
        <v>46097</v>
      </c>
      <c r="G124" s="9">
        <v>46063</v>
      </c>
      <c r="H124" s="8">
        <v>8.09</v>
      </c>
      <c r="I124" s="8"/>
      <c r="J124" s="9"/>
      <c r="K124" s="2"/>
      <c r="L124" s="2" t="s">
        <v>17</v>
      </c>
    </row>
    <row r="125" spans="1:12">
      <c r="A125" s="2" t="s">
        <v>390</v>
      </c>
      <c r="B125" s="2" t="s">
        <v>391</v>
      </c>
      <c r="C125" s="2" t="s">
        <v>14</v>
      </c>
      <c r="D125" s="2" t="s">
        <v>15</v>
      </c>
      <c r="E125" s="2" t="s">
        <v>16</v>
      </c>
      <c r="F125" s="9">
        <v>46097</v>
      </c>
      <c r="G125" s="9">
        <v>46063</v>
      </c>
      <c r="H125" s="8">
        <v>10.68</v>
      </c>
      <c r="I125" s="8"/>
      <c r="J125" s="9"/>
      <c r="K125" s="2"/>
      <c r="L125" s="2" t="s">
        <v>17</v>
      </c>
    </row>
    <row r="126" spans="1:12">
      <c r="A126" s="2" t="s">
        <v>2928</v>
      </c>
      <c r="B126" s="2" t="s">
        <v>2929</v>
      </c>
      <c r="C126" s="2" t="s">
        <v>14</v>
      </c>
      <c r="D126" s="2" t="s">
        <v>15</v>
      </c>
      <c r="E126" s="2" t="s">
        <v>55</v>
      </c>
      <c r="F126" s="9">
        <v>46094</v>
      </c>
      <c r="G126" s="9">
        <v>46063</v>
      </c>
      <c r="H126" s="8">
        <v>119.99</v>
      </c>
      <c r="I126" s="8">
        <v>33.22</v>
      </c>
      <c r="J126" s="9">
        <v>46098</v>
      </c>
      <c r="K126" s="2" t="s">
        <v>2930</v>
      </c>
      <c r="L126" s="2" t="s">
        <v>17</v>
      </c>
    </row>
    <row r="127" spans="1:12">
      <c r="A127" s="2" t="s">
        <v>2931</v>
      </c>
      <c r="B127" s="2" t="s">
        <v>2932</v>
      </c>
      <c r="C127" s="2" t="s">
        <v>14</v>
      </c>
      <c r="D127" s="2" t="s">
        <v>15</v>
      </c>
      <c r="E127" s="2" t="s">
        <v>16</v>
      </c>
      <c r="F127" s="9">
        <v>46097</v>
      </c>
      <c r="G127" s="9">
        <v>46063</v>
      </c>
      <c r="H127" s="8">
        <v>2.36</v>
      </c>
      <c r="I127" s="8"/>
      <c r="J127" s="9"/>
      <c r="K127" s="2"/>
      <c r="L127" s="2" t="s">
        <v>17</v>
      </c>
    </row>
    <row r="128" spans="1:12">
      <c r="A128" s="14" t="s">
        <v>2933</v>
      </c>
      <c r="B128" s="2" t="s">
        <v>2934</v>
      </c>
      <c r="C128" s="2" t="s">
        <v>14</v>
      </c>
      <c r="D128" s="2" t="s">
        <v>15</v>
      </c>
      <c r="E128" s="2" t="s">
        <v>2686</v>
      </c>
      <c r="F128" s="9">
        <v>46090</v>
      </c>
      <c r="G128" s="9">
        <v>46063</v>
      </c>
      <c r="H128" s="8">
        <v>109.99</v>
      </c>
      <c r="I128" s="8">
        <v>37.700000000000003</v>
      </c>
      <c r="J128" s="9">
        <v>46094</v>
      </c>
      <c r="K128" s="2" t="s">
        <v>2935</v>
      </c>
      <c r="L128" s="2" t="s">
        <v>17</v>
      </c>
    </row>
    <row r="129" spans="1:12">
      <c r="A129" s="14" t="s">
        <v>1373</v>
      </c>
      <c r="B129" s="2" t="s">
        <v>1374</v>
      </c>
      <c r="C129" s="2" t="s">
        <v>2667</v>
      </c>
      <c r="D129" s="2" t="s">
        <v>15</v>
      </c>
      <c r="E129" s="2" t="s">
        <v>55</v>
      </c>
      <c r="F129" s="9">
        <v>46092</v>
      </c>
      <c r="G129" s="9">
        <v>46006</v>
      </c>
      <c r="H129" s="8">
        <v>64.459999999999994</v>
      </c>
      <c r="I129" s="8">
        <v>15.06</v>
      </c>
      <c r="J129" s="9">
        <v>46094</v>
      </c>
      <c r="K129" s="2" t="s">
        <v>2936</v>
      </c>
      <c r="L129" s="2" t="s">
        <v>17</v>
      </c>
    </row>
    <row r="130" spans="1:12">
      <c r="A130" s="14" t="s">
        <v>1376</v>
      </c>
      <c r="B130" s="2" t="s">
        <v>1377</v>
      </c>
      <c r="C130" s="2" t="s">
        <v>2667</v>
      </c>
      <c r="D130" s="2" t="s">
        <v>15</v>
      </c>
      <c r="E130" s="2" t="s">
        <v>2788</v>
      </c>
      <c r="F130" s="9">
        <v>46092</v>
      </c>
      <c r="G130" s="9">
        <v>46006</v>
      </c>
      <c r="H130" s="8">
        <v>80.599999999999994</v>
      </c>
      <c r="I130" s="8">
        <v>26.37</v>
      </c>
      <c r="J130" s="9">
        <v>46097</v>
      </c>
      <c r="K130" s="2" t="s">
        <v>2937</v>
      </c>
      <c r="L130" s="2" t="s">
        <v>17</v>
      </c>
    </row>
    <row r="131" spans="1:12">
      <c r="A131" s="14" t="s">
        <v>2938</v>
      </c>
      <c r="B131" s="2" t="s">
        <v>2939</v>
      </c>
      <c r="C131" s="2" t="s">
        <v>2667</v>
      </c>
      <c r="D131" s="2" t="s">
        <v>15</v>
      </c>
      <c r="E131" s="2" t="s">
        <v>58</v>
      </c>
      <c r="F131" s="9">
        <v>46092</v>
      </c>
      <c r="G131" s="9">
        <v>46006</v>
      </c>
      <c r="H131" s="8">
        <v>69.63</v>
      </c>
      <c r="I131" s="8">
        <v>6.55</v>
      </c>
      <c r="J131" s="9">
        <v>46097</v>
      </c>
      <c r="K131" s="2" t="s">
        <v>2940</v>
      </c>
      <c r="L131" s="2" t="s">
        <v>17</v>
      </c>
    </row>
    <row r="132" spans="1:12">
      <c r="A132" s="14" t="s">
        <v>1317</v>
      </c>
      <c r="B132" s="2" t="s">
        <v>1318</v>
      </c>
      <c r="C132" s="2" t="s">
        <v>2667</v>
      </c>
      <c r="D132" s="2" t="s">
        <v>15</v>
      </c>
      <c r="E132" s="2" t="s">
        <v>58</v>
      </c>
      <c r="F132" s="9">
        <v>46092</v>
      </c>
      <c r="G132" s="9">
        <v>46006</v>
      </c>
      <c r="H132" s="8">
        <v>87.6</v>
      </c>
      <c r="I132" s="8">
        <v>14.53</v>
      </c>
      <c r="J132" s="9">
        <v>46097</v>
      </c>
      <c r="K132" s="2" t="s">
        <v>2941</v>
      </c>
      <c r="L132" s="2" t="s">
        <v>17</v>
      </c>
    </row>
    <row r="133" spans="1:12">
      <c r="A133" s="14" t="s">
        <v>2942</v>
      </c>
      <c r="B133" s="2" t="s">
        <v>2943</v>
      </c>
      <c r="C133" s="2" t="s">
        <v>2667</v>
      </c>
      <c r="D133" s="2" t="s">
        <v>15</v>
      </c>
      <c r="E133" s="2" t="s">
        <v>2771</v>
      </c>
      <c r="F133" s="9">
        <v>46092</v>
      </c>
      <c r="G133" s="9">
        <v>46006</v>
      </c>
      <c r="H133" s="8">
        <v>161.19999999999999</v>
      </c>
      <c r="I133" s="8">
        <v>15</v>
      </c>
      <c r="J133" s="9">
        <v>46094</v>
      </c>
      <c r="K133" s="2" t="s">
        <v>2944</v>
      </c>
      <c r="L133" s="2" t="s">
        <v>17</v>
      </c>
    </row>
    <row r="134" spans="1:12">
      <c r="A134" s="14" t="s">
        <v>2945</v>
      </c>
      <c r="B134" s="2" t="s">
        <v>2946</v>
      </c>
      <c r="C134" s="2" t="s">
        <v>2667</v>
      </c>
      <c r="D134" s="2" t="s">
        <v>15</v>
      </c>
      <c r="E134" s="2" t="s">
        <v>2599</v>
      </c>
      <c r="F134" s="9">
        <v>46092</v>
      </c>
      <c r="G134" s="9">
        <v>46006</v>
      </c>
      <c r="H134" s="8">
        <v>54.14</v>
      </c>
      <c r="I134" s="8">
        <v>5.1100000000000003</v>
      </c>
      <c r="J134" s="9">
        <v>46094</v>
      </c>
      <c r="K134" s="2" t="s">
        <v>2947</v>
      </c>
      <c r="L134" s="2" t="s">
        <v>17</v>
      </c>
    </row>
    <row r="135" spans="1:12">
      <c r="A135" s="14" t="s">
        <v>2948</v>
      </c>
      <c r="B135" s="2" t="s">
        <v>2949</v>
      </c>
      <c r="C135" s="2" t="s">
        <v>2667</v>
      </c>
      <c r="D135" s="2" t="s">
        <v>15</v>
      </c>
      <c r="E135" s="2" t="s">
        <v>2599</v>
      </c>
      <c r="F135" s="9">
        <v>46092</v>
      </c>
      <c r="G135" s="9">
        <v>46006</v>
      </c>
      <c r="H135" s="8">
        <v>265.52</v>
      </c>
      <c r="I135" s="8">
        <v>38.979999999999997</v>
      </c>
      <c r="J135" s="9">
        <v>46095</v>
      </c>
      <c r="K135" s="2" t="s">
        <v>2950</v>
      </c>
      <c r="L135" s="2" t="s">
        <v>17</v>
      </c>
    </row>
    <row r="136" spans="1:12">
      <c r="A136" s="14" t="s">
        <v>1882</v>
      </c>
      <c r="B136" s="2" t="s">
        <v>1883</v>
      </c>
      <c r="C136" s="2" t="s">
        <v>2667</v>
      </c>
      <c r="D136" s="2" t="s">
        <v>15</v>
      </c>
      <c r="E136" s="2" t="s">
        <v>2686</v>
      </c>
      <c r="F136" s="9">
        <v>46092</v>
      </c>
      <c r="G136" s="9">
        <v>46006</v>
      </c>
      <c r="H136" s="8">
        <v>74.040000000000006</v>
      </c>
      <c r="I136" s="8">
        <v>22.5</v>
      </c>
      <c r="J136" s="9">
        <v>46099</v>
      </c>
      <c r="K136" s="2" t="s">
        <v>2951</v>
      </c>
      <c r="L136" s="2" t="s">
        <v>17</v>
      </c>
    </row>
    <row r="137" spans="1:12">
      <c r="A137" s="14" t="s">
        <v>1885</v>
      </c>
      <c r="B137" s="2" t="s">
        <v>1886</v>
      </c>
      <c r="C137" s="2" t="s">
        <v>2667</v>
      </c>
      <c r="D137" s="2" t="s">
        <v>15</v>
      </c>
      <c r="E137" s="2" t="s">
        <v>2633</v>
      </c>
      <c r="F137" s="9">
        <v>46092</v>
      </c>
      <c r="G137" s="9">
        <v>46006</v>
      </c>
      <c r="H137" s="8">
        <v>81.77</v>
      </c>
      <c r="I137" s="8">
        <v>10</v>
      </c>
      <c r="J137" s="9">
        <v>46097</v>
      </c>
      <c r="K137" s="2" t="s">
        <v>2952</v>
      </c>
      <c r="L137" s="2" t="s">
        <v>17</v>
      </c>
    </row>
    <row r="138" spans="1:12">
      <c r="A138" s="14" t="s">
        <v>1888</v>
      </c>
      <c r="B138" s="2" t="s">
        <v>1889</v>
      </c>
      <c r="C138" s="2" t="s">
        <v>2667</v>
      </c>
      <c r="D138" s="2" t="s">
        <v>15</v>
      </c>
      <c r="E138" s="2" t="s">
        <v>2663</v>
      </c>
      <c r="F138" s="9">
        <v>46092</v>
      </c>
      <c r="G138" s="9">
        <v>46006</v>
      </c>
      <c r="H138" s="8">
        <v>156.5</v>
      </c>
      <c r="I138" s="8">
        <v>47.68</v>
      </c>
      <c r="J138" s="9">
        <v>46097</v>
      </c>
      <c r="K138" s="2" t="s">
        <v>2953</v>
      </c>
      <c r="L138" s="2" t="s">
        <v>17</v>
      </c>
    </row>
    <row r="139" spans="1:12">
      <c r="A139" s="14" t="s">
        <v>1891</v>
      </c>
      <c r="B139" s="2" t="s">
        <v>1892</v>
      </c>
      <c r="C139" s="2" t="s">
        <v>2667</v>
      </c>
      <c r="D139" s="2" t="s">
        <v>15</v>
      </c>
      <c r="E139" s="2" t="s">
        <v>55</v>
      </c>
      <c r="F139" s="9">
        <v>46092</v>
      </c>
      <c r="G139" s="9">
        <v>46006</v>
      </c>
      <c r="H139" s="8">
        <v>66.989999999999995</v>
      </c>
      <c r="I139" s="8">
        <v>18.55</v>
      </c>
      <c r="J139" s="9">
        <v>46097</v>
      </c>
      <c r="K139" s="2" t="s">
        <v>2954</v>
      </c>
      <c r="L139" s="2" t="s">
        <v>17</v>
      </c>
    </row>
    <row r="140" spans="1:12">
      <c r="A140" s="14" t="s">
        <v>2955</v>
      </c>
      <c r="B140" s="2" t="s">
        <v>2956</v>
      </c>
      <c r="C140" s="2" t="s">
        <v>2667</v>
      </c>
      <c r="D140" s="2" t="s">
        <v>15</v>
      </c>
      <c r="E140" s="2" t="s">
        <v>2663</v>
      </c>
      <c r="F140" s="9">
        <v>46092</v>
      </c>
      <c r="G140" s="9">
        <v>46006</v>
      </c>
      <c r="H140" s="8">
        <v>139.97999999999999</v>
      </c>
      <c r="I140" s="8">
        <v>41.03</v>
      </c>
      <c r="J140" s="9">
        <v>46097</v>
      </c>
      <c r="K140" s="2" t="s">
        <v>2957</v>
      </c>
      <c r="L140" s="2" t="s">
        <v>17</v>
      </c>
    </row>
    <row r="141" spans="1:12">
      <c r="A141" s="14" t="s">
        <v>2958</v>
      </c>
      <c r="B141" s="2" t="s">
        <v>2959</v>
      </c>
      <c r="C141" s="2" t="s">
        <v>2667</v>
      </c>
      <c r="D141" s="2" t="s">
        <v>15</v>
      </c>
      <c r="E141" s="2" t="s">
        <v>2574</v>
      </c>
      <c r="F141" s="9">
        <v>46092</v>
      </c>
      <c r="G141" s="9">
        <v>46006</v>
      </c>
      <c r="H141" s="8">
        <v>101.98</v>
      </c>
      <c r="I141" s="8">
        <v>17.8</v>
      </c>
      <c r="J141" s="9">
        <v>46094</v>
      </c>
      <c r="K141" s="2" t="s">
        <v>2960</v>
      </c>
      <c r="L141" s="2" t="s">
        <v>17</v>
      </c>
    </row>
    <row r="142" spans="1:12">
      <c r="A142" s="14" t="s">
        <v>2961</v>
      </c>
      <c r="B142" s="2" t="s">
        <v>2962</v>
      </c>
      <c r="C142" s="2" t="s">
        <v>2667</v>
      </c>
      <c r="D142" s="2" t="s">
        <v>15</v>
      </c>
      <c r="E142" s="2" t="s">
        <v>2599</v>
      </c>
      <c r="F142" s="9">
        <v>46092</v>
      </c>
      <c r="G142" s="9">
        <v>46006</v>
      </c>
      <c r="H142" s="8">
        <v>99.99</v>
      </c>
      <c r="I142" s="8">
        <v>17.899999999999999</v>
      </c>
      <c r="J142" s="9">
        <v>46096</v>
      </c>
      <c r="K142" s="2" t="s">
        <v>2963</v>
      </c>
      <c r="L142" s="2" t="s">
        <v>17</v>
      </c>
    </row>
    <row r="143" spans="1:12">
      <c r="A143" s="14" t="s">
        <v>2964</v>
      </c>
      <c r="B143" s="2" t="s">
        <v>2965</v>
      </c>
      <c r="C143" s="2" t="s">
        <v>2667</v>
      </c>
      <c r="D143" s="2" t="s">
        <v>15</v>
      </c>
      <c r="E143" s="2" t="s">
        <v>2574</v>
      </c>
      <c r="F143" s="9">
        <v>46092</v>
      </c>
      <c r="G143" s="9">
        <v>46006</v>
      </c>
      <c r="H143" s="8">
        <v>149.99</v>
      </c>
      <c r="I143" s="8">
        <v>28.1</v>
      </c>
      <c r="J143" s="9">
        <v>46097</v>
      </c>
      <c r="K143" s="2" t="s">
        <v>2966</v>
      </c>
      <c r="L143" s="2" t="s">
        <v>17</v>
      </c>
    </row>
    <row r="144" spans="1:12">
      <c r="A144" s="14" t="s">
        <v>2967</v>
      </c>
      <c r="B144" s="2" t="s">
        <v>2968</v>
      </c>
      <c r="C144" s="2" t="s">
        <v>2667</v>
      </c>
      <c r="D144" s="2" t="s">
        <v>15</v>
      </c>
      <c r="E144" s="2" t="s">
        <v>2629</v>
      </c>
      <c r="F144" s="9">
        <v>46092</v>
      </c>
      <c r="G144" s="9">
        <v>46006</v>
      </c>
      <c r="H144" s="8">
        <v>269.97000000000003</v>
      </c>
      <c r="I144" s="8">
        <v>53.16</v>
      </c>
      <c r="J144" s="9">
        <v>46097</v>
      </c>
      <c r="K144" s="2" t="s">
        <v>2969</v>
      </c>
      <c r="L144" s="2" t="s">
        <v>17</v>
      </c>
    </row>
    <row r="145" spans="1:12">
      <c r="A145" s="14" t="s">
        <v>2970</v>
      </c>
      <c r="B145" s="2" t="s">
        <v>2971</v>
      </c>
      <c r="C145" s="2" t="s">
        <v>2667</v>
      </c>
      <c r="D145" s="2" t="s">
        <v>15</v>
      </c>
      <c r="E145" s="2" t="s">
        <v>2610</v>
      </c>
      <c r="F145" s="9">
        <v>46092</v>
      </c>
      <c r="G145" s="9">
        <v>46006</v>
      </c>
      <c r="H145" s="8">
        <v>99.99</v>
      </c>
      <c r="I145" s="8">
        <v>14.68</v>
      </c>
      <c r="J145" s="9">
        <v>46097</v>
      </c>
      <c r="K145" s="2" t="s">
        <v>2972</v>
      </c>
      <c r="L145" s="2" t="s">
        <v>17</v>
      </c>
    </row>
    <row r="146" spans="1:12">
      <c r="A146" s="14" t="s">
        <v>2973</v>
      </c>
      <c r="B146" s="2" t="s">
        <v>2974</v>
      </c>
      <c r="C146" s="2" t="s">
        <v>2667</v>
      </c>
      <c r="D146" s="2" t="s">
        <v>15</v>
      </c>
      <c r="E146" s="2" t="s">
        <v>2727</v>
      </c>
      <c r="F146" s="9">
        <v>46092</v>
      </c>
      <c r="G146" s="9">
        <v>46006</v>
      </c>
      <c r="H146" s="8">
        <v>109.97</v>
      </c>
      <c r="I146" s="8">
        <v>21.87</v>
      </c>
      <c r="J146" s="9">
        <v>46096</v>
      </c>
      <c r="K146" s="2" t="s">
        <v>2975</v>
      </c>
      <c r="L146" s="2" t="s">
        <v>17</v>
      </c>
    </row>
    <row r="147" spans="1:12">
      <c r="A147" s="14" t="s">
        <v>2976</v>
      </c>
      <c r="B147" s="2" t="s">
        <v>2977</v>
      </c>
      <c r="C147" s="2" t="s">
        <v>2667</v>
      </c>
      <c r="D147" s="2" t="s">
        <v>15</v>
      </c>
      <c r="E147" s="2" t="s">
        <v>2599</v>
      </c>
      <c r="F147" s="9">
        <v>46092</v>
      </c>
      <c r="G147" s="9">
        <v>46006</v>
      </c>
      <c r="H147" s="8">
        <v>1489.7</v>
      </c>
      <c r="I147" s="8">
        <v>280.05</v>
      </c>
      <c r="J147" s="9">
        <v>46096</v>
      </c>
      <c r="K147" s="2" t="s">
        <v>2978</v>
      </c>
      <c r="L147" s="2" t="s">
        <v>17</v>
      </c>
    </row>
    <row r="148" spans="1:12">
      <c r="A148" s="14" t="s">
        <v>2979</v>
      </c>
      <c r="B148" s="2" t="s">
        <v>2980</v>
      </c>
      <c r="C148" s="2" t="s">
        <v>2667</v>
      </c>
      <c r="D148" s="2" t="s">
        <v>15</v>
      </c>
      <c r="E148" s="2" t="s">
        <v>2788</v>
      </c>
      <c r="F148" s="9">
        <v>46092</v>
      </c>
      <c r="G148" s="9">
        <v>46006</v>
      </c>
      <c r="H148" s="8">
        <v>52.99</v>
      </c>
      <c r="I148" s="8">
        <v>19.98</v>
      </c>
      <c r="J148" s="9">
        <v>46096</v>
      </c>
      <c r="K148" s="2" t="s">
        <v>2981</v>
      </c>
      <c r="L148" s="2" t="s">
        <v>17</v>
      </c>
    </row>
    <row r="149" spans="1:12">
      <c r="A149" s="14" t="s">
        <v>2982</v>
      </c>
      <c r="B149" s="2" t="s">
        <v>2983</v>
      </c>
      <c r="C149" s="2" t="s">
        <v>2667</v>
      </c>
      <c r="D149" s="2" t="s">
        <v>15</v>
      </c>
      <c r="E149" s="2" t="s">
        <v>2663</v>
      </c>
      <c r="F149" s="9">
        <v>46097</v>
      </c>
      <c r="G149" s="9">
        <v>46006</v>
      </c>
      <c r="H149" s="8">
        <v>238.87</v>
      </c>
      <c r="I149" s="8">
        <v>45.72</v>
      </c>
      <c r="J149" s="9">
        <v>46101</v>
      </c>
      <c r="K149" s="2" t="s">
        <v>2984</v>
      </c>
      <c r="L149" s="2" t="s">
        <v>17</v>
      </c>
    </row>
    <row r="150" spans="1:12">
      <c r="A150" s="14" t="s">
        <v>2985</v>
      </c>
      <c r="B150" s="2" t="s">
        <v>2986</v>
      </c>
      <c r="C150" s="2" t="s">
        <v>2667</v>
      </c>
      <c r="D150" s="2" t="s">
        <v>15</v>
      </c>
      <c r="E150" s="2" t="s">
        <v>2574</v>
      </c>
      <c r="F150" s="9">
        <v>46092</v>
      </c>
      <c r="G150" s="9">
        <v>46006</v>
      </c>
      <c r="H150" s="8">
        <v>216.86</v>
      </c>
      <c r="I150" s="8">
        <v>41.9</v>
      </c>
      <c r="J150" s="9">
        <v>46097</v>
      </c>
      <c r="K150" s="2" t="s">
        <v>2987</v>
      </c>
      <c r="L150" s="2" t="s">
        <v>17</v>
      </c>
    </row>
    <row r="151" spans="1:12">
      <c r="A151" s="14" t="s">
        <v>2988</v>
      </c>
      <c r="B151" s="2" t="s">
        <v>2989</v>
      </c>
      <c r="C151" s="2" t="s">
        <v>2667</v>
      </c>
      <c r="D151" s="2" t="s">
        <v>15</v>
      </c>
      <c r="E151" s="2" t="s">
        <v>2771</v>
      </c>
      <c r="F151" s="9">
        <v>46092</v>
      </c>
      <c r="G151" s="9">
        <v>46006</v>
      </c>
      <c r="H151" s="8">
        <v>157.12</v>
      </c>
      <c r="I151" s="8">
        <v>33.14</v>
      </c>
      <c r="J151" s="9">
        <v>46096</v>
      </c>
      <c r="K151" s="2" t="s">
        <v>2990</v>
      </c>
      <c r="L151" s="2" t="s">
        <v>17</v>
      </c>
    </row>
    <row r="152" spans="1:12">
      <c r="A152" s="14" t="s">
        <v>2991</v>
      </c>
      <c r="B152" s="2" t="s">
        <v>2992</v>
      </c>
      <c r="C152" s="2" t="s">
        <v>2667</v>
      </c>
      <c r="D152" s="2" t="s">
        <v>15</v>
      </c>
      <c r="E152" s="2" t="s">
        <v>2574</v>
      </c>
      <c r="F152" s="9">
        <v>46097</v>
      </c>
      <c r="G152" s="9">
        <v>46006</v>
      </c>
      <c r="H152" s="8">
        <v>3065.65</v>
      </c>
      <c r="I152" s="8">
        <v>616.62</v>
      </c>
      <c r="J152" s="9">
        <v>46102</v>
      </c>
      <c r="K152" s="2" t="s">
        <v>2993</v>
      </c>
      <c r="L152" s="2" t="s">
        <v>17</v>
      </c>
    </row>
    <row r="153" spans="1:12">
      <c r="A153" s="14" t="s">
        <v>2994</v>
      </c>
      <c r="B153" s="2" t="s">
        <v>2995</v>
      </c>
      <c r="C153" s="2" t="s">
        <v>2667</v>
      </c>
      <c r="D153" s="2" t="s">
        <v>15</v>
      </c>
      <c r="E153" s="2" t="s">
        <v>2629</v>
      </c>
      <c r="F153" s="9">
        <v>46092</v>
      </c>
      <c r="G153" s="9">
        <v>46006</v>
      </c>
      <c r="H153" s="8">
        <v>82.66</v>
      </c>
      <c r="I153" s="8">
        <v>47.4</v>
      </c>
      <c r="J153" s="9">
        <v>46096</v>
      </c>
      <c r="K153" s="2" t="s">
        <v>2996</v>
      </c>
      <c r="L153" s="2" t="s">
        <v>17</v>
      </c>
    </row>
    <row r="154" spans="1:12">
      <c r="A154" s="14" t="s">
        <v>2997</v>
      </c>
      <c r="B154" s="2" t="s">
        <v>2998</v>
      </c>
      <c r="C154" s="2" t="s">
        <v>2667</v>
      </c>
      <c r="D154" s="2" t="s">
        <v>15</v>
      </c>
      <c r="E154" s="2" t="s">
        <v>2629</v>
      </c>
      <c r="F154" s="9">
        <v>46092</v>
      </c>
      <c r="G154" s="9">
        <v>46006</v>
      </c>
      <c r="H154" s="8">
        <v>64.39</v>
      </c>
      <c r="I154" s="8">
        <v>13.97</v>
      </c>
      <c r="J154" s="9">
        <v>46096</v>
      </c>
      <c r="K154" s="2" t="s">
        <v>2999</v>
      </c>
      <c r="L154" s="2" t="s">
        <v>17</v>
      </c>
    </row>
    <row r="155" spans="1:12">
      <c r="A155" s="14" t="s">
        <v>3000</v>
      </c>
      <c r="B155" s="2" t="s">
        <v>3001</v>
      </c>
      <c r="C155" s="2" t="s">
        <v>2667</v>
      </c>
      <c r="D155" s="2" t="s">
        <v>15</v>
      </c>
      <c r="E155" s="2" t="s">
        <v>2633</v>
      </c>
      <c r="F155" s="9">
        <v>46098</v>
      </c>
      <c r="G155" s="9">
        <v>46006</v>
      </c>
      <c r="H155" s="8">
        <v>2499.75</v>
      </c>
      <c r="I155" s="8">
        <v>1382.12</v>
      </c>
      <c r="J155" s="9">
        <v>46103</v>
      </c>
      <c r="K155" s="2" t="s">
        <v>3002</v>
      </c>
      <c r="L155" s="2" t="s">
        <v>17</v>
      </c>
    </row>
    <row r="156" spans="1:12">
      <c r="A156" s="14" t="s">
        <v>3003</v>
      </c>
      <c r="B156" s="2" t="s">
        <v>3004</v>
      </c>
      <c r="C156" s="2" t="s">
        <v>14</v>
      </c>
      <c r="D156" s="2" t="s">
        <v>15</v>
      </c>
      <c r="E156" s="2" t="s">
        <v>2574</v>
      </c>
      <c r="F156" s="9">
        <v>46098</v>
      </c>
      <c r="G156" s="9">
        <v>46068</v>
      </c>
      <c r="H156" s="8">
        <v>109.99</v>
      </c>
      <c r="I156" s="8">
        <v>34.090000000000003</v>
      </c>
      <c r="J156" s="9">
        <v>46101</v>
      </c>
      <c r="K156" s="2" t="s">
        <v>3005</v>
      </c>
      <c r="L156" s="2" t="s">
        <v>17</v>
      </c>
    </row>
    <row r="157" spans="1:12">
      <c r="A157" s="14" t="s">
        <v>3006</v>
      </c>
      <c r="B157" s="2" t="s">
        <v>3007</v>
      </c>
      <c r="C157" s="2" t="s">
        <v>14</v>
      </c>
      <c r="D157" s="2" t="s">
        <v>15</v>
      </c>
      <c r="E157" s="2" t="s">
        <v>55</v>
      </c>
      <c r="F157" s="9">
        <v>46098</v>
      </c>
      <c r="G157" s="9">
        <v>46068</v>
      </c>
      <c r="H157" s="8">
        <v>140.47999999999999</v>
      </c>
      <c r="I157" s="8">
        <v>36.43</v>
      </c>
      <c r="J157" s="9">
        <v>46101</v>
      </c>
      <c r="K157" s="2" t="s">
        <v>3008</v>
      </c>
      <c r="L157" s="2" t="s">
        <v>17</v>
      </c>
    </row>
    <row r="158" spans="1:12">
      <c r="A158" s="14" t="s">
        <v>3009</v>
      </c>
      <c r="B158" s="2" t="s">
        <v>3010</v>
      </c>
      <c r="C158" s="2" t="s">
        <v>14</v>
      </c>
      <c r="D158" s="2" t="s">
        <v>15</v>
      </c>
      <c r="E158" s="2" t="s">
        <v>55</v>
      </c>
      <c r="F158" s="9">
        <v>46099</v>
      </c>
      <c r="G158" s="9">
        <v>46068</v>
      </c>
      <c r="H158" s="8">
        <v>109.99</v>
      </c>
      <c r="I158" s="8">
        <v>33.4</v>
      </c>
      <c r="J158" s="9">
        <v>46102</v>
      </c>
      <c r="K158" s="2" t="s">
        <v>3011</v>
      </c>
      <c r="L158" s="2" t="s">
        <v>17</v>
      </c>
    </row>
    <row r="159" spans="1:12">
      <c r="A159" s="14" t="s">
        <v>3012</v>
      </c>
      <c r="B159" s="2" t="s">
        <v>3013</v>
      </c>
      <c r="C159" s="2" t="s">
        <v>14</v>
      </c>
      <c r="D159" s="2" t="s">
        <v>15</v>
      </c>
      <c r="E159" s="2" t="s">
        <v>58</v>
      </c>
      <c r="F159" s="9">
        <v>46098</v>
      </c>
      <c r="G159" s="9">
        <v>46068</v>
      </c>
      <c r="H159" s="8">
        <v>99.99</v>
      </c>
      <c r="I159" s="8">
        <v>10.3</v>
      </c>
      <c r="J159" s="9">
        <v>46101</v>
      </c>
      <c r="K159" s="2" t="s">
        <v>3014</v>
      </c>
      <c r="L159" s="2" t="s">
        <v>17</v>
      </c>
    </row>
    <row r="160" spans="1:12">
      <c r="A160" s="14" t="s">
        <v>3015</v>
      </c>
      <c r="B160" s="2" t="s">
        <v>3016</v>
      </c>
      <c r="C160" s="2" t="s">
        <v>14</v>
      </c>
      <c r="D160" s="2" t="s">
        <v>15</v>
      </c>
      <c r="E160" s="2" t="s">
        <v>58</v>
      </c>
      <c r="F160" s="9">
        <v>46099</v>
      </c>
      <c r="G160" s="9">
        <v>46068</v>
      </c>
      <c r="H160" s="8">
        <v>109.99</v>
      </c>
      <c r="I160" s="8">
        <v>28.8</v>
      </c>
      <c r="J160" s="9">
        <v>46102</v>
      </c>
      <c r="K160" s="2" t="s">
        <v>3017</v>
      </c>
      <c r="L160" s="2" t="s">
        <v>17</v>
      </c>
    </row>
    <row r="161" spans="1:12">
      <c r="A161" s="14" t="s">
        <v>3018</v>
      </c>
      <c r="B161" s="2" t="s">
        <v>3019</v>
      </c>
      <c r="C161" s="2" t="s">
        <v>14</v>
      </c>
      <c r="D161" s="2" t="s">
        <v>15</v>
      </c>
      <c r="E161" s="2" t="s">
        <v>16</v>
      </c>
      <c r="F161" s="9">
        <v>46098</v>
      </c>
      <c r="G161" s="9">
        <v>46068</v>
      </c>
      <c r="H161" s="8">
        <v>1.55</v>
      </c>
      <c r="I161" s="8"/>
      <c r="J161" s="9"/>
      <c r="K161" s="2"/>
      <c r="L161" s="2" t="s">
        <v>17</v>
      </c>
    </row>
    <row r="162" spans="1:12">
      <c r="A162" s="14" t="s">
        <v>3020</v>
      </c>
      <c r="B162" s="2" t="s">
        <v>3021</v>
      </c>
      <c r="C162" s="2" t="s">
        <v>14</v>
      </c>
      <c r="D162" s="2" t="s">
        <v>15</v>
      </c>
      <c r="E162" s="2" t="s">
        <v>58</v>
      </c>
      <c r="F162" s="9">
        <v>46098</v>
      </c>
      <c r="G162" s="9">
        <v>46068</v>
      </c>
      <c r="H162" s="8">
        <v>129.99</v>
      </c>
      <c r="I162" s="8">
        <v>39.200000000000003</v>
      </c>
      <c r="J162" s="9">
        <v>46103</v>
      </c>
      <c r="K162" s="2" t="s">
        <v>3022</v>
      </c>
      <c r="L162" s="2" t="s">
        <v>17</v>
      </c>
    </row>
    <row r="163" spans="1:12">
      <c r="A163" s="14" t="s">
        <v>729</v>
      </c>
      <c r="B163" s="2" t="s">
        <v>730</v>
      </c>
      <c r="C163" s="2" t="s">
        <v>14</v>
      </c>
      <c r="D163" s="2" t="s">
        <v>15</v>
      </c>
      <c r="E163" s="2" t="s">
        <v>16</v>
      </c>
      <c r="F163" s="9">
        <v>46098</v>
      </c>
      <c r="G163" s="9">
        <v>46068</v>
      </c>
      <c r="H163" s="8">
        <v>10.68</v>
      </c>
      <c r="I163" s="8"/>
      <c r="J163" s="9"/>
      <c r="K163" s="2"/>
      <c r="L163" s="2" t="s">
        <v>17</v>
      </c>
    </row>
    <row r="164" spans="1:12">
      <c r="A164" s="14" t="s">
        <v>3023</v>
      </c>
      <c r="B164" s="2" t="s">
        <v>3024</v>
      </c>
      <c r="C164" s="2" t="s">
        <v>14</v>
      </c>
      <c r="D164" s="2" t="s">
        <v>15</v>
      </c>
      <c r="E164" s="2" t="s">
        <v>2633</v>
      </c>
      <c r="F164" s="9">
        <v>46101</v>
      </c>
      <c r="G164" s="9">
        <v>46068</v>
      </c>
      <c r="H164" s="8">
        <v>87.14</v>
      </c>
      <c r="I164" s="8">
        <v>15.27</v>
      </c>
      <c r="J164" s="9">
        <v>46104</v>
      </c>
      <c r="K164" s="2" t="s">
        <v>3025</v>
      </c>
      <c r="L164" s="2" t="s">
        <v>17</v>
      </c>
    </row>
    <row r="165" spans="1:12">
      <c r="A165" s="14" t="s">
        <v>3026</v>
      </c>
      <c r="B165" s="2" t="s">
        <v>3027</v>
      </c>
      <c r="C165" s="2" t="s">
        <v>14</v>
      </c>
      <c r="D165" s="2" t="s">
        <v>15</v>
      </c>
      <c r="E165" s="2" t="s">
        <v>2633</v>
      </c>
      <c r="F165" s="9">
        <v>46101</v>
      </c>
      <c r="G165" s="9">
        <v>46068</v>
      </c>
      <c r="H165" s="8">
        <v>99.99</v>
      </c>
      <c r="I165" s="8">
        <v>20</v>
      </c>
      <c r="J165" s="9">
        <v>46105</v>
      </c>
      <c r="K165" s="2" t="s">
        <v>3028</v>
      </c>
      <c r="L165" s="2" t="s">
        <v>17</v>
      </c>
    </row>
    <row r="166" spans="1:12">
      <c r="A166" s="14" t="s">
        <v>3029</v>
      </c>
      <c r="B166" s="2" t="s">
        <v>3030</v>
      </c>
      <c r="C166" s="2" t="s">
        <v>14</v>
      </c>
      <c r="D166" s="2" t="s">
        <v>15</v>
      </c>
      <c r="E166" s="2" t="s">
        <v>2703</v>
      </c>
      <c r="F166" s="9">
        <v>46098</v>
      </c>
      <c r="G166" s="9">
        <v>46068</v>
      </c>
      <c r="H166" s="8">
        <v>141.22999999999999</v>
      </c>
      <c r="I166" s="8">
        <v>29.09</v>
      </c>
      <c r="J166" s="9">
        <v>46103</v>
      </c>
      <c r="K166" s="2" t="s">
        <v>3031</v>
      </c>
      <c r="L166" s="2" t="s">
        <v>17</v>
      </c>
    </row>
    <row r="167" spans="1:12">
      <c r="A167" s="14" t="s">
        <v>3032</v>
      </c>
      <c r="B167" s="2" t="s">
        <v>3033</v>
      </c>
      <c r="C167" s="2" t="s">
        <v>14</v>
      </c>
      <c r="D167" s="2" t="s">
        <v>15</v>
      </c>
      <c r="E167" s="2" t="s">
        <v>55</v>
      </c>
      <c r="F167" s="9">
        <v>46099</v>
      </c>
      <c r="G167" s="9">
        <v>46068</v>
      </c>
      <c r="H167" s="8">
        <v>120</v>
      </c>
      <c r="I167" s="8">
        <v>41.1</v>
      </c>
      <c r="J167" s="9">
        <v>46104</v>
      </c>
      <c r="K167" s="2" t="s">
        <v>3034</v>
      </c>
      <c r="L167" s="2" t="s">
        <v>17</v>
      </c>
    </row>
    <row r="168" spans="1:12">
      <c r="A168" s="14" t="s">
        <v>3035</v>
      </c>
      <c r="B168" s="2" t="s">
        <v>3036</v>
      </c>
      <c r="C168" s="2" t="s">
        <v>14</v>
      </c>
      <c r="D168" s="2" t="s">
        <v>15</v>
      </c>
      <c r="E168" s="2" t="s">
        <v>2742</v>
      </c>
      <c r="F168" s="9">
        <v>46098</v>
      </c>
      <c r="G168" s="9">
        <v>46068</v>
      </c>
      <c r="H168" s="8">
        <v>112.44</v>
      </c>
      <c r="I168" s="8">
        <v>23.16</v>
      </c>
      <c r="J168" s="9">
        <v>46101</v>
      </c>
      <c r="K168" s="2" t="s">
        <v>3037</v>
      </c>
      <c r="L168" s="2" t="s">
        <v>17</v>
      </c>
    </row>
    <row r="169" spans="1:12">
      <c r="A169" s="14" t="s">
        <v>3038</v>
      </c>
      <c r="B169" s="2" t="s">
        <v>3039</v>
      </c>
      <c r="C169" s="2" t="s">
        <v>14</v>
      </c>
      <c r="D169" s="2" t="s">
        <v>15</v>
      </c>
      <c r="E169" s="2" t="s">
        <v>2663</v>
      </c>
      <c r="F169" s="9">
        <v>46098</v>
      </c>
      <c r="G169" s="9">
        <v>46068</v>
      </c>
      <c r="H169" s="8">
        <v>99.99</v>
      </c>
      <c r="I169" s="8">
        <v>20.6</v>
      </c>
      <c r="J169" s="9">
        <v>46105</v>
      </c>
      <c r="K169" s="2" t="s">
        <v>3040</v>
      </c>
      <c r="L169" s="2" t="s">
        <v>17</v>
      </c>
    </row>
    <row r="170" spans="1:12">
      <c r="A170" s="14" t="s">
        <v>3041</v>
      </c>
      <c r="B170" s="2" t="s">
        <v>3042</v>
      </c>
      <c r="C170" s="2" t="s">
        <v>14</v>
      </c>
      <c r="D170" s="2" t="s">
        <v>15</v>
      </c>
      <c r="E170" s="2" t="s">
        <v>55</v>
      </c>
      <c r="F170" s="9">
        <v>46098</v>
      </c>
      <c r="G170" s="9">
        <v>46068</v>
      </c>
      <c r="H170" s="8">
        <v>123.43</v>
      </c>
      <c r="I170" s="8">
        <v>24.73</v>
      </c>
      <c r="J170" s="9">
        <v>46103</v>
      </c>
      <c r="K170" s="2" t="s">
        <v>3043</v>
      </c>
      <c r="L170" s="2" t="s">
        <v>17</v>
      </c>
    </row>
    <row r="171" spans="1:12">
      <c r="A171" s="14" t="s">
        <v>3044</v>
      </c>
      <c r="B171" s="2" t="s">
        <v>3045</v>
      </c>
      <c r="C171" s="2" t="s">
        <v>14</v>
      </c>
      <c r="D171" s="2" t="s">
        <v>15</v>
      </c>
      <c r="E171" s="2" t="s">
        <v>2851</v>
      </c>
      <c r="F171" s="9">
        <v>46098</v>
      </c>
      <c r="G171" s="9">
        <v>46068</v>
      </c>
      <c r="H171" s="8">
        <v>99.99</v>
      </c>
      <c r="I171" s="8">
        <v>37.6</v>
      </c>
      <c r="J171" s="9">
        <v>46103</v>
      </c>
      <c r="K171" s="2" t="s">
        <v>3046</v>
      </c>
      <c r="L171" s="2" t="s">
        <v>17</v>
      </c>
    </row>
    <row r="172" spans="1:12">
      <c r="A172" s="14" t="s">
        <v>3047</v>
      </c>
      <c r="B172" s="2" t="s">
        <v>3048</v>
      </c>
      <c r="C172" s="2" t="s">
        <v>14</v>
      </c>
      <c r="D172" s="2" t="s">
        <v>15</v>
      </c>
      <c r="E172" s="2" t="s">
        <v>2574</v>
      </c>
      <c r="F172" s="9">
        <v>46098</v>
      </c>
      <c r="G172" s="9">
        <v>46068</v>
      </c>
      <c r="H172" s="8">
        <v>129.99</v>
      </c>
      <c r="I172" s="8">
        <v>42.02</v>
      </c>
      <c r="J172" s="9">
        <v>46102</v>
      </c>
      <c r="K172" s="2" t="s">
        <v>3049</v>
      </c>
      <c r="L172" s="2" t="s">
        <v>17</v>
      </c>
    </row>
    <row r="173" spans="1:12">
      <c r="A173" s="14" t="s">
        <v>3050</v>
      </c>
      <c r="B173" s="2" t="s">
        <v>3051</v>
      </c>
      <c r="C173" s="2" t="s">
        <v>14</v>
      </c>
      <c r="D173" s="2" t="s">
        <v>15</v>
      </c>
      <c r="E173" s="2" t="s">
        <v>2788</v>
      </c>
      <c r="F173" s="9">
        <v>46098</v>
      </c>
      <c r="G173" s="9">
        <v>46068</v>
      </c>
      <c r="H173" s="8">
        <v>109.99</v>
      </c>
      <c r="I173" s="8">
        <v>45.54</v>
      </c>
      <c r="J173" s="9">
        <v>46103</v>
      </c>
      <c r="K173" s="2" t="s">
        <v>3052</v>
      </c>
      <c r="L173" s="2" t="s">
        <v>17</v>
      </c>
    </row>
    <row r="174" spans="1:12">
      <c r="A174" s="14" t="s">
        <v>3053</v>
      </c>
      <c r="B174" s="2" t="s">
        <v>3054</v>
      </c>
      <c r="C174" s="2" t="s">
        <v>14</v>
      </c>
      <c r="D174" s="2" t="s">
        <v>15</v>
      </c>
      <c r="E174" s="2" t="s">
        <v>2663</v>
      </c>
      <c r="F174" s="9">
        <v>46098</v>
      </c>
      <c r="G174" s="9">
        <v>46068</v>
      </c>
      <c r="H174" s="8">
        <v>143.72</v>
      </c>
      <c r="I174" s="8">
        <v>36.94</v>
      </c>
      <c r="J174" s="9">
        <v>46101</v>
      </c>
      <c r="K174" s="2" t="s">
        <v>3055</v>
      </c>
      <c r="L174" s="2" t="s">
        <v>17</v>
      </c>
    </row>
    <row r="175" spans="1:12">
      <c r="A175" s="14" t="s">
        <v>3056</v>
      </c>
      <c r="B175" s="2" t="s">
        <v>3057</v>
      </c>
      <c r="C175" s="2" t="s">
        <v>14</v>
      </c>
      <c r="D175" s="2" t="s">
        <v>15</v>
      </c>
      <c r="E175" s="2" t="s">
        <v>2788</v>
      </c>
      <c r="F175" s="9">
        <v>46100</v>
      </c>
      <c r="G175" s="9">
        <v>46068</v>
      </c>
      <c r="H175" s="8">
        <v>99.99</v>
      </c>
      <c r="I175" s="8">
        <v>35.04</v>
      </c>
      <c r="J175" s="9">
        <v>46104</v>
      </c>
      <c r="K175" s="2" t="s">
        <v>3058</v>
      </c>
      <c r="L175" s="2" t="s">
        <v>17</v>
      </c>
    </row>
    <row r="176" spans="1:12">
      <c r="A176" s="14" t="s">
        <v>3059</v>
      </c>
      <c r="B176" s="2" t="s">
        <v>3060</v>
      </c>
      <c r="C176" s="2" t="s">
        <v>14</v>
      </c>
      <c r="D176" s="2" t="s">
        <v>15</v>
      </c>
      <c r="E176" s="2" t="s">
        <v>55</v>
      </c>
      <c r="F176" s="9">
        <v>46107</v>
      </c>
      <c r="G176" s="9">
        <v>46068</v>
      </c>
      <c r="H176" s="8">
        <v>109.99</v>
      </c>
      <c r="I176" s="8">
        <v>17.079999999999998</v>
      </c>
      <c r="J176" s="9">
        <v>46111</v>
      </c>
      <c r="K176" s="2" t="s">
        <v>3061</v>
      </c>
      <c r="L176" s="2" t="s">
        <v>17</v>
      </c>
    </row>
    <row r="177" spans="1:12">
      <c r="A177" s="14" t="s">
        <v>3062</v>
      </c>
      <c r="B177" s="2" t="s">
        <v>3063</v>
      </c>
      <c r="C177" s="2" t="s">
        <v>14</v>
      </c>
      <c r="D177" s="2" t="s">
        <v>15</v>
      </c>
      <c r="E177" s="2" t="s">
        <v>3064</v>
      </c>
      <c r="F177" s="9">
        <v>46099</v>
      </c>
      <c r="G177" s="9">
        <v>46068</v>
      </c>
      <c r="H177" s="8">
        <v>99.99</v>
      </c>
      <c r="I177" s="8">
        <v>40.6</v>
      </c>
      <c r="J177" s="9">
        <v>46103</v>
      </c>
      <c r="K177" s="2" t="s">
        <v>3065</v>
      </c>
      <c r="L177" s="2" t="s">
        <v>17</v>
      </c>
    </row>
    <row r="178" spans="1:12">
      <c r="A178" s="14" t="s">
        <v>3066</v>
      </c>
      <c r="B178" s="2" t="s">
        <v>3067</v>
      </c>
      <c r="C178" s="2" t="s">
        <v>14</v>
      </c>
      <c r="D178" s="2" t="s">
        <v>15</v>
      </c>
      <c r="E178" s="2" t="s">
        <v>55</v>
      </c>
      <c r="F178" s="9">
        <v>46120</v>
      </c>
      <c r="G178" s="9">
        <v>46068</v>
      </c>
      <c r="H178" s="8">
        <v>54.54</v>
      </c>
      <c r="I178" s="8">
        <v>30</v>
      </c>
      <c r="J178" s="9">
        <v>46123</v>
      </c>
      <c r="K178" s="2" t="s">
        <v>3068</v>
      </c>
      <c r="L178" s="2" t="s">
        <v>17</v>
      </c>
    </row>
    <row r="179" spans="1:12">
      <c r="A179" s="14" t="s">
        <v>3069</v>
      </c>
      <c r="B179" s="2" t="s">
        <v>3070</v>
      </c>
      <c r="C179" s="2" t="s">
        <v>14</v>
      </c>
      <c r="D179" s="2" t="s">
        <v>15</v>
      </c>
      <c r="E179" s="2" t="s">
        <v>2663</v>
      </c>
      <c r="F179" s="9">
        <v>46099</v>
      </c>
      <c r="G179" s="9">
        <v>46068</v>
      </c>
      <c r="H179" s="8">
        <v>99.99</v>
      </c>
      <c r="I179" s="8">
        <v>34.08</v>
      </c>
      <c r="J179" s="9">
        <v>46104</v>
      </c>
      <c r="K179" s="2" t="s">
        <v>3071</v>
      </c>
      <c r="L179" s="2" t="s">
        <v>17</v>
      </c>
    </row>
    <row r="180" spans="1:12">
      <c r="A180" s="14" t="s">
        <v>3072</v>
      </c>
      <c r="B180" s="2" t="s">
        <v>3073</v>
      </c>
      <c r="C180" s="2" t="s">
        <v>14</v>
      </c>
      <c r="D180" s="2" t="s">
        <v>15</v>
      </c>
      <c r="E180" s="2" t="s">
        <v>2574</v>
      </c>
      <c r="F180" s="9">
        <v>46098</v>
      </c>
      <c r="G180" s="9">
        <v>46068</v>
      </c>
      <c r="H180" s="8">
        <v>109.99</v>
      </c>
      <c r="I180" s="8">
        <v>22.47</v>
      </c>
      <c r="J180" s="9">
        <v>46102</v>
      </c>
      <c r="K180" s="2" t="s">
        <v>3074</v>
      </c>
      <c r="L180" s="2" t="s">
        <v>17</v>
      </c>
    </row>
    <row r="181" spans="1:12">
      <c r="A181" s="14" t="s">
        <v>3075</v>
      </c>
      <c r="B181" s="2" t="s">
        <v>3076</v>
      </c>
      <c r="C181" s="2" t="s">
        <v>14</v>
      </c>
      <c r="D181" s="2" t="s">
        <v>15</v>
      </c>
      <c r="E181" s="2" t="s">
        <v>58</v>
      </c>
      <c r="F181" s="9">
        <v>46100</v>
      </c>
      <c r="G181" s="9">
        <v>46068</v>
      </c>
      <c r="H181" s="8">
        <v>99.99</v>
      </c>
      <c r="I181" s="8">
        <v>17.52</v>
      </c>
      <c r="J181" s="9">
        <v>46104</v>
      </c>
      <c r="K181" s="2" t="s">
        <v>3077</v>
      </c>
      <c r="L181" s="2" t="s">
        <v>17</v>
      </c>
    </row>
    <row r="182" spans="1:12">
      <c r="A182" s="14" t="s">
        <v>3078</v>
      </c>
      <c r="B182" s="2" t="s">
        <v>3079</v>
      </c>
      <c r="C182" s="2" t="s">
        <v>14</v>
      </c>
      <c r="D182" s="2" t="s">
        <v>15</v>
      </c>
      <c r="E182" s="2" t="s">
        <v>58</v>
      </c>
      <c r="F182" s="9">
        <v>46100</v>
      </c>
      <c r="G182" s="9">
        <v>46068</v>
      </c>
      <c r="H182" s="8">
        <v>99.99</v>
      </c>
      <c r="I182" s="8">
        <v>27.82</v>
      </c>
      <c r="J182" s="9">
        <v>46104</v>
      </c>
      <c r="K182" s="2" t="s">
        <v>3080</v>
      </c>
      <c r="L182" s="2" t="s">
        <v>17</v>
      </c>
    </row>
    <row r="183" spans="1:12">
      <c r="A183" s="14" t="s">
        <v>3081</v>
      </c>
      <c r="B183" s="2" t="s">
        <v>3082</v>
      </c>
      <c r="C183" s="2" t="s">
        <v>14</v>
      </c>
      <c r="D183" s="2" t="s">
        <v>15</v>
      </c>
      <c r="E183" s="2" t="s">
        <v>55</v>
      </c>
      <c r="F183" s="9">
        <v>46099</v>
      </c>
      <c r="G183" s="9">
        <v>46068</v>
      </c>
      <c r="H183" s="8">
        <v>139.99</v>
      </c>
      <c r="I183" s="8">
        <v>50.58</v>
      </c>
      <c r="J183" s="9">
        <v>46102</v>
      </c>
      <c r="K183" s="2" t="s">
        <v>3083</v>
      </c>
      <c r="L183" s="2" t="s">
        <v>17</v>
      </c>
    </row>
    <row r="184" spans="1:12">
      <c r="A184" s="14" t="s">
        <v>3084</v>
      </c>
      <c r="B184" s="2" t="s">
        <v>3085</v>
      </c>
      <c r="C184" s="2" t="s">
        <v>14</v>
      </c>
      <c r="D184" s="2" t="s">
        <v>15</v>
      </c>
      <c r="E184" s="2" t="s">
        <v>55</v>
      </c>
      <c r="F184" s="9">
        <v>46100</v>
      </c>
      <c r="G184" s="9">
        <v>46068</v>
      </c>
      <c r="H184" s="8">
        <v>112.33</v>
      </c>
      <c r="I184" s="8">
        <v>31.77</v>
      </c>
      <c r="J184" s="9">
        <v>46105</v>
      </c>
      <c r="K184" s="2" t="s">
        <v>3086</v>
      </c>
      <c r="L184" s="2" t="s">
        <v>17</v>
      </c>
    </row>
    <row r="185" spans="1:12">
      <c r="A185" s="14" t="s">
        <v>3087</v>
      </c>
      <c r="B185" s="2" t="s">
        <v>3088</v>
      </c>
      <c r="C185" s="2" t="s">
        <v>14</v>
      </c>
      <c r="D185" s="2" t="s">
        <v>15</v>
      </c>
      <c r="E185" s="2" t="s">
        <v>2703</v>
      </c>
      <c r="F185" s="9">
        <v>46100</v>
      </c>
      <c r="G185" s="9">
        <v>46068</v>
      </c>
      <c r="H185" s="8">
        <v>122.11</v>
      </c>
      <c r="I185" s="8">
        <v>41.16</v>
      </c>
      <c r="J185" s="9">
        <v>46103</v>
      </c>
      <c r="K185" s="2" t="s">
        <v>3089</v>
      </c>
      <c r="L185" s="2" t="s">
        <v>17</v>
      </c>
    </row>
    <row r="186" spans="1:12">
      <c r="A186" s="14" t="s">
        <v>3090</v>
      </c>
      <c r="B186" s="2" t="s">
        <v>3091</v>
      </c>
      <c r="C186" s="2" t="s">
        <v>14</v>
      </c>
      <c r="D186" s="2" t="s">
        <v>15</v>
      </c>
      <c r="E186" s="2" t="s">
        <v>58</v>
      </c>
      <c r="F186" s="9">
        <v>46100</v>
      </c>
      <c r="G186" s="9">
        <v>46068</v>
      </c>
      <c r="H186" s="8">
        <v>109.99</v>
      </c>
      <c r="I186" s="8">
        <v>28.04</v>
      </c>
      <c r="J186" s="9">
        <v>46104</v>
      </c>
      <c r="K186" s="2" t="s">
        <v>3092</v>
      </c>
      <c r="L186" s="2" t="s">
        <v>17</v>
      </c>
    </row>
    <row r="187" spans="1:12">
      <c r="A187" s="14" t="s">
        <v>3093</v>
      </c>
      <c r="B187" s="2" t="s">
        <v>3094</v>
      </c>
      <c r="C187" s="2" t="s">
        <v>14</v>
      </c>
      <c r="D187" s="2" t="s">
        <v>15</v>
      </c>
      <c r="E187" s="2" t="s">
        <v>2703</v>
      </c>
      <c r="F187" s="9">
        <v>46100</v>
      </c>
      <c r="G187" s="9">
        <v>46068</v>
      </c>
      <c r="H187" s="8">
        <v>139.99</v>
      </c>
      <c r="I187" s="8">
        <v>33.26</v>
      </c>
      <c r="J187" s="9">
        <v>46105</v>
      </c>
      <c r="K187" s="2" t="s">
        <v>3095</v>
      </c>
      <c r="L187" s="2" t="s">
        <v>17</v>
      </c>
    </row>
    <row r="188" spans="1:12">
      <c r="A188" s="14" t="s">
        <v>3096</v>
      </c>
      <c r="B188" s="2" t="s">
        <v>3097</v>
      </c>
      <c r="C188" s="2" t="s">
        <v>14</v>
      </c>
      <c r="D188" s="2" t="s">
        <v>15</v>
      </c>
      <c r="E188" s="2" t="s">
        <v>55</v>
      </c>
      <c r="F188" s="9">
        <v>46100</v>
      </c>
      <c r="G188" s="9">
        <v>46068</v>
      </c>
      <c r="H188" s="8">
        <v>109.99</v>
      </c>
      <c r="I188" s="8">
        <v>31</v>
      </c>
      <c r="J188" s="9">
        <v>46105</v>
      </c>
      <c r="K188" s="2" t="s">
        <v>3098</v>
      </c>
      <c r="L188" s="2" t="s">
        <v>17</v>
      </c>
    </row>
    <row r="189" spans="1:12">
      <c r="A189" s="14" t="s">
        <v>3099</v>
      </c>
      <c r="B189" s="2" t="s">
        <v>3100</v>
      </c>
      <c r="C189" s="2" t="s">
        <v>14</v>
      </c>
      <c r="D189" s="2" t="s">
        <v>15</v>
      </c>
      <c r="E189" s="2" t="s">
        <v>58</v>
      </c>
      <c r="F189" s="9">
        <v>46111</v>
      </c>
      <c r="G189" s="9">
        <v>46068</v>
      </c>
      <c r="H189" s="8">
        <v>122.9</v>
      </c>
      <c r="I189" s="8">
        <v>43.09</v>
      </c>
      <c r="J189" s="9">
        <v>46083</v>
      </c>
      <c r="K189" s="2" t="s">
        <v>3101</v>
      </c>
      <c r="L189" s="2" t="s">
        <v>17</v>
      </c>
    </row>
    <row r="190" spans="1:12">
      <c r="A190" s="14" t="s">
        <v>3102</v>
      </c>
      <c r="B190" s="2" t="s">
        <v>3103</v>
      </c>
      <c r="C190" s="2" t="s">
        <v>14</v>
      </c>
      <c r="D190" s="2" t="s">
        <v>15</v>
      </c>
      <c r="E190" s="2" t="s">
        <v>2851</v>
      </c>
      <c r="F190" s="9">
        <v>46100</v>
      </c>
      <c r="G190" s="9">
        <v>46068</v>
      </c>
      <c r="H190" s="8">
        <v>99.99</v>
      </c>
      <c r="I190" s="8">
        <v>20.61</v>
      </c>
      <c r="J190" s="9">
        <v>46104</v>
      </c>
      <c r="K190" s="2" t="s">
        <v>3104</v>
      </c>
      <c r="L190" s="2" t="s">
        <v>17</v>
      </c>
    </row>
    <row r="191" spans="1:12">
      <c r="A191" s="14" t="s">
        <v>3105</v>
      </c>
      <c r="B191" s="2" t="s">
        <v>3106</v>
      </c>
      <c r="C191" s="2" t="s">
        <v>14</v>
      </c>
      <c r="D191" s="2" t="s">
        <v>15</v>
      </c>
      <c r="E191" s="2" t="s">
        <v>2574</v>
      </c>
      <c r="F191" s="9">
        <v>46106</v>
      </c>
      <c r="G191" s="9">
        <v>46068</v>
      </c>
      <c r="H191" s="8">
        <v>139.99</v>
      </c>
      <c r="I191" s="8">
        <v>24.58</v>
      </c>
      <c r="J191" s="9">
        <v>46111</v>
      </c>
      <c r="K191" s="2" t="s">
        <v>3107</v>
      </c>
      <c r="L191" s="2" t="s">
        <v>17</v>
      </c>
    </row>
    <row r="192" spans="1:12">
      <c r="A192" s="14" t="s">
        <v>3108</v>
      </c>
      <c r="B192" s="2" t="s">
        <v>3109</v>
      </c>
      <c r="C192" s="2" t="s">
        <v>14</v>
      </c>
      <c r="D192" s="2" t="s">
        <v>15</v>
      </c>
      <c r="E192" s="2" t="s">
        <v>2788</v>
      </c>
      <c r="F192" s="9">
        <v>46101</v>
      </c>
      <c r="G192" s="9">
        <v>46068</v>
      </c>
      <c r="H192" s="8">
        <v>99.99</v>
      </c>
      <c r="I192" s="8">
        <v>26</v>
      </c>
      <c r="J192" s="9">
        <v>46104</v>
      </c>
      <c r="K192" s="2" t="s">
        <v>3110</v>
      </c>
      <c r="L192" s="2" t="s">
        <v>17</v>
      </c>
    </row>
    <row r="193" spans="1:12">
      <c r="A193" s="14" t="s">
        <v>3111</v>
      </c>
      <c r="B193" s="2" t="s">
        <v>3112</v>
      </c>
      <c r="C193" s="2" t="s">
        <v>14</v>
      </c>
      <c r="D193" s="2" t="s">
        <v>15</v>
      </c>
      <c r="E193" s="2" t="s">
        <v>2703</v>
      </c>
      <c r="F193" s="9">
        <v>46106</v>
      </c>
      <c r="G193" s="9">
        <v>46068</v>
      </c>
      <c r="H193" s="8">
        <v>132.25</v>
      </c>
      <c r="I193" s="8">
        <v>46.47</v>
      </c>
      <c r="J193" s="9">
        <v>46111</v>
      </c>
      <c r="K193" s="2" t="s">
        <v>3113</v>
      </c>
      <c r="L193" s="2" t="s">
        <v>17</v>
      </c>
    </row>
    <row r="194" spans="1:12">
      <c r="A194" s="14" t="s">
        <v>3114</v>
      </c>
      <c r="B194" s="2" t="s">
        <v>3115</v>
      </c>
      <c r="C194" s="2" t="s">
        <v>14</v>
      </c>
      <c r="D194" s="2" t="s">
        <v>15</v>
      </c>
      <c r="E194" s="2" t="s">
        <v>55</v>
      </c>
      <c r="F194" s="9">
        <v>46128</v>
      </c>
      <c r="G194" s="9">
        <v>46068</v>
      </c>
      <c r="H194" s="8">
        <v>122.79</v>
      </c>
      <c r="I194" s="8">
        <v>40</v>
      </c>
      <c r="J194" s="9">
        <v>46132</v>
      </c>
      <c r="K194" s="2" t="s">
        <v>3116</v>
      </c>
      <c r="L194" s="2" t="s">
        <v>17</v>
      </c>
    </row>
    <row r="195" spans="1:12">
      <c r="A195" s="14" t="s">
        <v>3117</v>
      </c>
      <c r="B195" s="2" t="s">
        <v>3118</v>
      </c>
      <c r="C195" s="2" t="s">
        <v>14</v>
      </c>
      <c r="D195" s="2" t="s">
        <v>15</v>
      </c>
      <c r="E195" s="2" t="s">
        <v>55</v>
      </c>
      <c r="F195" s="9">
        <v>46106</v>
      </c>
      <c r="G195" s="9">
        <v>46068</v>
      </c>
      <c r="H195" s="8">
        <v>107.41</v>
      </c>
      <c r="I195" s="8">
        <v>37.99</v>
      </c>
      <c r="J195" s="9">
        <v>46111</v>
      </c>
      <c r="K195" s="2" t="s">
        <v>3119</v>
      </c>
      <c r="L195" s="2" t="s">
        <v>17</v>
      </c>
    </row>
    <row r="196" spans="1:12">
      <c r="A196" s="14" t="s">
        <v>3120</v>
      </c>
      <c r="B196" s="2" t="s">
        <v>3121</v>
      </c>
      <c r="C196" s="2" t="s">
        <v>14</v>
      </c>
      <c r="D196" s="2" t="s">
        <v>15</v>
      </c>
      <c r="E196" s="2" t="s">
        <v>55</v>
      </c>
      <c r="F196" s="9">
        <v>46100</v>
      </c>
      <c r="G196" s="9">
        <v>46068</v>
      </c>
      <c r="H196" s="8">
        <v>119.99</v>
      </c>
      <c r="I196" s="8">
        <v>32.54</v>
      </c>
      <c r="J196" s="9">
        <v>46104</v>
      </c>
      <c r="K196" s="2" t="s">
        <v>3122</v>
      </c>
      <c r="L196" s="2" t="s">
        <v>17</v>
      </c>
    </row>
    <row r="197" spans="1:12">
      <c r="A197" s="14" t="s">
        <v>3123</v>
      </c>
      <c r="B197" s="2" t="s">
        <v>3124</v>
      </c>
      <c r="C197" s="2" t="s">
        <v>14</v>
      </c>
      <c r="D197" s="2" t="s">
        <v>15</v>
      </c>
      <c r="E197" s="2" t="s">
        <v>2633</v>
      </c>
      <c r="F197" s="9">
        <v>46100</v>
      </c>
      <c r="G197" s="9">
        <v>46068</v>
      </c>
      <c r="H197" s="8">
        <v>102.75</v>
      </c>
      <c r="I197" s="8">
        <v>27.96</v>
      </c>
      <c r="J197" s="9">
        <v>46107</v>
      </c>
      <c r="K197" s="2" t="s">
        <v>3125</v>
      </c>
      <c r="L197" s="2" t="s">
        <v>17</v>
      </c>
    </row>
    <row r="198" spans="1:12">
      <c r="A198" s="14" t="s">
        <v>3126</v>
      </c>
      <c r="B198" s="2" t="s">
        <v>3127</v>
      </c>
      <c r="C198" s="2" t="s">
        <v>14</v>
      </c>
      <c r="D198" s="2" t="s">
        <v>15</v>
      </c>
      <c r="E198" s="2" t="s">
        <v>2851</v>
      </c>
      <c r="F198" s="9">
        <v>46100</v>
      </c>
      <c r="G198" s="9">
        <v>46068</v>
      </c>
      <c r="H198" s="8">
        <v>109.99</v>
      </c>
      <c r="I198" s="8">
        <v>30</v>
      </c>
      <c r="J198" s="9">
        <v>46104</v>
      </c>
      <c r="K198" s="2" t="s">
        <v>3128</v>
      </c>
      <c r="L198" s="2" t="s">
        <v>17</v>
      </c>
    </row>
    <row r="199" spans="1:12">
      <c r="A199" s="14" t="s">
        <v>3129</v>
      </c>
      <c r="B199" s="2" t="s">
        <v>3130</v>
      </c>
      <c r="C199" s="2" t="s">
        <v>14</v>
      </c>
      <c r="D199" s="2" t="s">
        <v>15</v>
      </c>
      <c r="E199" s="2" t="s">
        <v>16</v>
      </c>
      <c r="F199" s="9">
        <v>46100</v>
      </c>
      <c r="G199" s="9">
        <v>46068</v>
      </c>
      <c r="H199" s="8">
        <v>3.58</v>
      </c>
      <c r="I199" s="8"/>
      <c r="J199" s="9"/>
      <c r="K199" s="2"/>
      <c r="L199" s="2" t="s">
        <v>17</v>
      </c>
    </row>
    <row r="200" spans="1:12">
      <c r="A200" s="14" t="s">
        <v>3131</v>
      </c>
      <c r="B200" s="2" t="s">
        <v>3132</v>
      </c>
      <c r="C200" s="2" t="s">
        <v>14</v>
      </c>
      <c r="D200" s="2" t="s">
        <v>15</v>
      </c>
      <c r="E200" s="2" t="s">
        <v>2633</v>
      </c>
      <c r="F200" s="9">
        <v>46105</v>
      </c>
      <c r="G200" s="9">
        <v>46068</v>
      </c>
      <c r="H200" s="8">
        <v>99.99</v>
      </c>
      <c r="I200" s="8">
        <v>10.32</v>
      </c>
      <c r="J200" s="9">
        <v>46108</v>
      </c>
      <c r="K200" s="2" t="s">
        <v>3133</v>
      </c>
      <c r="L200" s="2" t="s">
        <v>17</v>
      </c>
    </row>
    <row r="201" spans="1:12">
      <c r="A201" s="14" t="s">
        <v>3134</v>
      </c>
      <c r="B201" s="2" t="s">
        <v>3135</v>
      </c>
      <c r="C201" s="2" t="s">
        <v>14</v>
      </c>
      <c r="D201" s="2" t="s">
        <v>15</v>
      </c>
      <c r="E201" s="2" t="s">
        <v>55</v>
      </c>
      <c r="F201" s="9">
        <v>46101</v>
      </c>
      <c r="G201" s="9">
        <v>46068</v>
      </c>
      <c r="H201" s="8">
        <v>119.99</v>
      </c>
      <c r="I201" s="8">
        <v>21.03</v>
      </c>
      <c r="J201" s="9">
        <v>46105</v>
      </c>
      <c r="K201" s="2" t="s">
        <v>3136</v>
      </c>
      <c r="L201" s="2" t="s">
        <v>17</v>
      </c>
    </row>
    <row r="202" spans="1:12">
      <c r="A202" s="14" t="s">
        <v>3137</v>
      </c>
      <c r="B202" s="2" t="s">
        <v>3138</v>
      </c>
      <c r="C202" s="2" t="s">
        <v>14</v>
      </c>
      <c r="D202" s="2" t="s">
        <v>15</v>
      </c>
      <c r="E202" s="2" t="s">
        <v>2788</v>
      </c>
      <c r="F202" s="9">
        <v>46101</v>
      </c>
      <c r="G202" s="9">
        <v>46068</v>
      </c>
      <c r="H202" s="8">
        <v>110.78</v>
      </c>
      <c r="I202" s="8">
        <v>19.41</v>
      </c>
      <c r="J202" s="9">
        <v>46105</v>
      </c>
      <c r="K202" s="2" t="s">
        <v>3139</v>
      </c>
      <c r="L202" s="2" t="s">
        <v>17</v>
      </c>
    </row>
    <row r="203" spans="1:12">
      <c r="A203" s="14" t="s">
        <v>920</v>
      </c>
      <c r="B203" s="2" t="s">
        <v>921</v>
      </c>
      <c r="C203" s="2" t="s">
        <v>14</v>
      </c>
      <c r="D203" s="2" t="s">
        <v>15</v>
      </c>
      <c r="E203" s="2" t="s">
        <v>16</v>
      </c>
      <c r="F203" s="9">
        <v>46105</v>
      </c>
      <c r="G203" s="9">
        <v>46068</v>
      </c>
      <c r="H203" s="8">
        <v>39.08</v>
      </c>
      <c r="I203" s="8"/>
      <c r="J203" s="9"/>
      <c r="K203" s="2"/>
      <c r="L203" s="2" t="s">
        <v>17</v>
      </c>
    </row>
    <row r="204" spans="1:12">
      <c r="A204" s="14" t="s">
        <v>3140</v>
      </c>
      <c r="B204" s="2" t="s">
        <v>3141</v>
      </c>
      <c r="C204" s="2" t="s">
        <v>14</v>
      </c>
      <c r="D204" s="2" t="s">
        <v>15</v>
      </c>
      <c r="E204" s="2" t="s">
        <v>2788</v>
      </c>
      <c r="F204" s="9">
        <v>46101</v>
      </c>
      <c r="G204" s="9">
        <v>46068</v>
      </c>
      <c r="H204" s="8">
        <v>99.99</v>
      </c>
      <c r="I204" s="8">
        <v>17.52</v>
      </c>
      <c r="J204" s="9">
        <v>46104</v>
      </c>
      <c r="K204" s="2" t="s">
        <v>3142</v>
      </c>
      <c r="L204" s="2" t="s">
        <v>17</v>
      </c>
    </row>
    <row r="205" spans="1:12">
      <c r="A205" s="14" t="s">
        <v>3143</v>
      </c>
      <c r="B205" s="2" t="s">
        <v>3144</v>
      </c>
      <c r="C205" s="2" t="s">
        <v>14</v>
      </c>
      <c r="D205" s="2" t="s">
        <v>15</v>
      </c>
      <c r="E205" s="2" t="s">
        <v>55</v>
      </c>
      <c r="F205" s="9">
        <v>46100</v>
      </c>
      <c r="G205" s="9">
        <v>46068</v>
      </c>
      <c r="H205" s="8">
        <v>99.99</v>
      </c>
      <c r="I205" s="8">
        <v>38.93</v>
      </c>
      <c r="J205" s="9">
        <v>46103</v>
      </c>
      <c r="K205" s="2" t="s">
        <v>3145</v>
      </c>
      <c r="L205" s="2" t="s">
        <v>17</v>
      </c>
    </row>
    <row r="206" spans="1:12">
      <c r="A206" s="14" t="s">
        <v>3146</v>
      </c>
      <c r="B206" s="2" t="s">
        <v>3147</v>
      </c>
      <c r="C206" s="2" t="s">
        <v>14</v>
      </c>
      <c r="D206" s="2" t="s">
        <v>15</v>
      </c>
      <c r="E206" s="2" t="s">
        <v>3064</v>
      </c>
      <c r="F206" s="9">
        <v>46107</v>
      </c>
      <c r="G206" s="9">
        <v>46068</v>
      </c>
      <c r="H206" s="8">
        <v>99.99</v>
      </c>
      <c r="I206" s="8">
        <v>27.26</v>
      </c>
      <c r="J206" s="9">
        <v>46110</v>
      </c>
      <c r="K206" s="2" t="s">
        <v>3148</v>
      </c>
      <c r="L206" s="2" t="s">
        <v>17</v>
      </c>
    </row>
    <row r="207" spans="1:12">
      <c r="A207" s="14" t="s">
        <v>3149</v>
      </c>
      <c r="B207" s="2" t="s">
        <v>3150</v>
      </c>
      <c r="C207" s="2" t="s">
        <v>14</v>
      </c>
      <c r="D207" s="2" t="s">
        <v>15</v>
      </c>
      <c r="E207" s="2" t="s">
        <v>16</v>
      </c>
      <c r="F207" s="9">
        <v>46100</v>
      </c>
      <c r="G207" s="9">
        <v>46068</v>
      </c>
      <c r="H207" s="8">
        <v>7.11</v>
      </c>
      <c r="I207" s="8"/>
      <c r="J207" s="9"/>
      <c r="K207" s="2"/>
      <c r="L207" s="2" t="s">
        <v>17</v>
      </c>
    </row>
    <row r="208" spans="1:12">
      <c r="A208" s="14" t="s">
        <v>3151</v>
      </c>
      <c r="B208" s="2" t="s">
        <v>3152</v>
      </c>
      <c r="C208" s="2" t="s">
        <v>14</v>
      </c>
      <c r="D208" s="2" t="s">
        <v>15</v>
      </c>
      <c r="E208" s="2" t="s">
        <v>2742</v>
      </c>
      <c r="F208" s="9">
        <v>46100</v>
      </c>
      <c r="G208" s="9">
        <v>46068</v>
      </c>
      <c r="H208" s="8">
        <v>99.99</v>
      </c>
      <c r="I208" s="8">
        <v>17.52</v>
      </c>
      <c r="J208" s="9">
        <v>46104</v>
      </c>
      <c r="K208" s="2" t="s">
        <v>3153</v>
      </c>
      <c r="L208" s="2" t="s">
        <v>17</v>
      </c>
    </row>
    <row r="209" spans="1:12">
      <c r="A209" s="14" t="s">
        <v>3154</v>
      </c>
      <c r="B209" s="2" t="s">
        <v>3155</v>
      </c>
      <c r="C209" s="2" t="s">
        <v>14</v>
      </c>
      <c r="D209" s="2" t="s">
        <v>15</v>
      </c>
      <c r="E209" s="2" t="s">
        <v>55</v>
      </c>
      <c r="F209" s="9">
        <v>46100</v>
      </c>
      <c r="G209" s="9">
        <v>46068</v>
      </c>
      <c r="H209" s="8">
        <v>109.99</v>
      </c>
      <c r="I209" s="8">
        <v>11.53</v>
      </c>
      <c r="J209" s="9">
        <v>46105</v>
      </c>
      <c r="K209" s="2" t="s">
        <v>3156</v>
      </c>
      <c r="L209" s="2" t="s">
        <v>17</v>
      </c>
    </row>
    <row r="210" spans="1:12">
      <c r="A210" s="14" t="s">
        <v>3157</v>
      </c>
      <c r="B210" s="2" t="s">
        <v>3158</v>
      </c>
      <c r="C210" s="2" t="s">
        <v>14</v>
      </c>
      <c r="D210" s="2" t="s">
        <v>15</v>
      </c>
      <c r="E210" s="2" t="s">
        <v>2633</v>
      </c>
      <c r="F210" s="9">
        <v>46100</v>
      </c>
      <c r="G210" s="9">
        <v>46068</v>
      </c>
      <c r="H210" s="8">
        <v>140.25</v>
      </c>
      <c r="I210" s="8">
        <v>56.44</v>
      </c>
      <c r="J210" s="9">
        <v>46104</v>
      </c>
      <c r="K210" s="2" t="s">
        <v>3159</v>
      </c>
      <c r="L210" s="2" t="s">
        <v>17</v>
      </c>
    </row>
    <row r="211" spans="1:12">
      <c r="A211" s="14" t="s">
        <v>3160</v>
      </c>
      <c r="B211" s="2" t="s">
        <v>3161</v>
      </c>
      <c r="C211" s="2" t="s">
        <v>14</v>
      </c>
      <c r="D211" s="2" t="s">
        <v>15</v>
      </c>
      <c r="E211" s="2" t="s">
        <v>16</v>
      </c>
      <c r="F211" s="9">
        <v>46100</v>
      </c>
      <c r="G211" s="9">
        <v>46068</v>
      </c>
      <c r="H211" s="8">
        <v>1.72</v>
      </c>
      <c r="I211" s="8"/>
      <c r="J211" s="9"/>
      <c r="K211" s="2"/>
      <c r="L211" s="2" t="s">
        <v>17</v>
      </c>
    </row>
    <row r="212" spans="1:12">
      <c r="A212" s="14" t="s">
        <v>3162</v>
      </c>
      <c r="B212" s="2" t="s">
        <v>3163</v>
      </c>
      <c r="C212" s="2" t="s">
        <v>14</v>
      </c>
      <c r="D212" s="2" t="s">
        <v>15</v>
      </c>
      <c r="E212" s="2" t="s">
        <v>2788</v>
      </c>
      <c r="F212" s="9">
        <v>46104</v>
      </c>
      <c r="G212" s="9">
        <v>46068</v>
      </c>
      <c r="H212" s="8">
        <v>143.07</v>
      </c>
      <c r="I212" s="8">
        <v>30</v>
      </c>
      <c r="J212" s="9">
        <v>46108</v>
      </c>
      <c r="K212" s="2" t="s">
        <v>3164</v>
      </c>
      <c r="L212" s="2" t="s">
        <v>17</v>
      </c>
    </row>
    <row r="213" spans="1:12">
      <c r="A213" s="14" t="s">
        <v>3165</v>
      </c>
      <c r="B213" s="2" t="s">
        <v>3166</v>
      </c>
      <c r="C213" s="2" t="s">
        <v>14</v>
      </c>
      <c r="D213" s="2" t="s">
        <v>15</v>
      </c>
      <c r="E213" s="2" t="s">
        <v>2633</v>
      </c>
      <c r="F213" s="9">
        <v>46100</v>
      </c>
      <c r="G213" s="9">
        <v>46068</v>
      </c>
      <c r="H213" s="8">
        <v>99.99</v>
      </c>
      <c r="I213" s="8">
        <v>20.61</v>
      </c>
      <c r="J213" s="9">
        <v>46104</v>
      </c>
      <c r="K213" s="2" t="s">
        <v>3167</v>
      </c>
      <c r="L213" s="2" t="s">
        <v>17</v>
      </c>
    </row>
    <row r="214" spans="1:12">
      <c r="A214" s="14" t="s">
        <v>3168</v>
      </c>
      <c r="B214" s="2" t="s">
        <v>3169</v>
      </c>
      <c r="C214" s="2" t="s">
        <v>14</v>
      </c>
      <c r="D214" s="2" t="s">
        <v>15</v>
      </c>
      <c r="E214" s="2" t="s">
        <v>55</v>
      </c>
      <c r="F214" s="9">
        <v>46100</v>
      </c>
      <c r="G214" s="9">
        <v>46068</v>
      </c>
      <c r="H214" s="8">
        <v>131.88</v>
      </c>
      <c r="I214" s="8">
        <v>23.11</v>
      </c>
      <c r="J214" s="9">
        <v>46105</v>
      </c>
      <c r="K214" s="2" t="s">
        <v>3170</v>
      </c>
      <c r="L214" s="2" t="s">
        <v>17</v>
      </c>
    </row>
    <row r="215" spans="1:12">
      <c r="A215" s="14" t="s">
        <v>3171</v>
      </c>
      <c r="B215" s="2" t="s">
        <v>3172</v>
      </c>
      <c r="C215" s="2" t="s">
        <v>14</v>
      </c>
      <c r="D215" s="2" t="s">
        <v>15</v>
      </c>
      <c r="E215" s="2" t="s">
        <v>2703</v>
      </c>
      <c r="F215" s="9">
        <v>46100</v>
      </c>
      <c r="G215" s="9">
        <v>46068</v>
      </c>
      <c r="H215" s="8">
        <v>143.83000000000001</v>
      </c>
      <c r="I215" s="8">
        <v>46.52</v>
      </c>
      <c r="J215" s="9">
        <v>46111</v>
      </c>
      <c r="K215" s="2" t="s">
        <v>3173</v>
      </c>
      <c r="L215" s="2" t="s">
        <v>17</v>
      </c>
    </row>
    <row r="216" spans="1:12">
      <c r="A216" s="14" t="s">
        <v>3174</v>
      </c>
      <c r="B216" s="2" t="s">
        <v>3175</v>
      </c>
      <c r="C216" s="2" t="s">
        <v>14</v>
      </c>
      <c r="D216" s="2" t="s">
        <v>15</v>
      </c>
      <c r="E216" s="2" t="s">
        <v>58</v>
      </c>
      <c r="F216" s="9">
        <v>46101</v>
      </c>
      <c r="G216" s="9">
        <v>46068</v>
      </c>
      <c r="H216" s="8">
        <v>54.89</v>
      </c>
      <c r="I216" s="8">
        <v>19.72</v>
      </c>
      <c r="J216" s="9">
        <v>46106</v>
      </c>
      <c r="K216" s="2" t="s">
        <v>3176</v>
      </c>
      <c r="L216" s="2" t="s">
        <v>17</v>
      </c>
    </row>
    <row r="217" spans="1:12">
      <c r="A217" s="14" t="s">
        <v>3177</v>
      </c>
      <c r="B217" s="2" t="s">
        <v>3178</v>
      </c>
      <c r="C217" s="2" t="s">
        <v>14</v>
      </c>
      <c r="D217" s="2" t="s">
        <v>15</v>
      </c>
      <c r="E217" s="2" t="s">
        <v>16</v>
      </c>
      <c r="F217" s="9">
        <v>46100</v>
      </c>
      <c r="G217" s="9">
        <v>46068</v>
      </c>
      <c r="H217" s="8">
        <v>7.11</v>
      </c>
      <c r="I217" s="8"/>
      <c r="J217" s="9"/>
      <c r="K217" s="2"/>
      <c r="L217" s="2" t="s">
        <v>17</v>
      </c>
    </row>
    <row r="218" spans="1:12">
      <c r="A218" s="14" t="s">
        <v>812</v>
      </c>
      <c r="B218" s="2" t="s">
        <v>813</v>
      </c>
      <c r="C218" s="2" t="s">
        <v>14</v>
      </c>
      <c r="D218" s="2" t="s">
        <v>15</v>
      </c>
      <c r="E218" s="2" t="s">
        <v>2851</v>
      </c>
      <c r="F218" s="9">
        <v>46101</v>
      </c>
      <c r="G218" s="9">
        <v>46068</v>
      </c>
      <c r="H218" s="8">
        <v>50.34</v>
      </c>
      <c r="I218" s="8">
        <v>17.64</v>
      </c>
      <c r="J218" s="9">
        <v>46076</v>
      </c>
      <c r="K218" s="2" t="s">
        <v>3179</v>
      </c>
      <c r="L218" s="2" t="s">
        <v>17</v>
      </c>
    </row>
    <row r="219" spans="1:12">
      <c r="A219" s="14" t="s">
        <v>3180</v>
      </c>
      <c r="B219" s="2" t="s">
        <v>3181</v>
      </c>
      <c r="C219" s="2" t="s">
        <v>14</v>
      </c>
      <c r="D219" s="2" t="s">
        <v>15</v>
      </c>
      <c r="E219" s="2" t="s">
        <v>16</v>
      </c>
      <c r="F219" s="9">
        <v>46105</v>
      </c>
      <c r="G219" s="9">
        <v>46068</v>
      </c>
      <c r="H219" s="8">
        <v>7.11</v>
      </c>
      <c r="I219" s="8"/>
      <c r="J219" s="9"/>
      <c r="K219" s="2"/>
      <c r="L219" s="2" t="s">
        <v>17</v>
      </c>
    </row>
    <row r="220" spans="1:12">
      <c r="A220" s="14" t="s">
        <v>3182</v>
      </c>
      <c r="B220" s="2" t="s">
        <v>3183</v>
      </c>
      <c r="C220" s="2" t="s">
        <v>14</v>
      </c>
      <c r="D220" s="2" t="s">
        <v>15</v>
      </c>
      <c r="E220" s="2" t="s">
        <v>3064</v>
      </c>
      <c r="F220" s="9">
        <v>46105</v>
      </c>
      <c r="G220" s="9">
        <v>46068</v>
      </c>
      <c r="H220" s="8">
        <v>102.01</v>
      </c>
      <c r="I220" s="8">
        <v>31.81</v>
      </c>
      <c r="J220" s="9">
        <v>46109</v>
      </c>
      <c r="K220" s="2" t="s">
        <v>3184</v>
      </c>
      <c r="L220" s="2" t="s">
        <v>17</v>
      </c>
    </row>
    <row r="221" spans="1:12">
      <c r="A221" s="14" t="s">
        <v>817</v>
      </c>
      <c r="B221" s="2" t="s">
        <v>818</v>
      </c>
      <c r="C221" s="2" t="s">
        <v>14</v>
      </c>
      <c r="D221" s="2" t="s">
        <v>15</v>
      </c>
      <c r="E221" s="2" t="s">
        <v>16</v>
      </c>
      <c r="F221" s="9">
        <v>46100</v>
      </c>
      <c r="G221" s="9">
        <v>46068</v>
      </c>
      <c r="H221" s="8">
        <v>3.24</v>
      </c>
      <c r="I221" s="8"/>
      <c r="J221" s="9"/>
      <c r="K221" s="2"/>
      <c r="L221" s="2" t="s">
        <v>17</v>
      </c>
    </row>
    <row r="222" spans="1:12">
      <c r="A222" s="14" t="s">
        <v>3185</v>
      </c>
      <c r="B222" s="2" t="s">
        <v>3186</v>
      </c>
      <c r="C222" s="2" t="s">
        <v>14</v>
      </c>
      <c r="D222" s="2" t="s">
        <v>15</v>
      </c>
      <c r="E222" s="2" t="s">
        <v>2574</v>
      </c>
      <c r="F222" s="9">
        <v>46105</v>
      </c>
      <c r="G222" s="9">
        <v>46068</v>
      </c>
      <c r="H222" s="8">
        <v>99.99</v>
      </c>
      <c r="I222" s="8">
        <v>20.399999999999999</v>
      </c>
      <c r="J222" s="9">
        <v>46108</v>
      </c>
      <c r="K222" s="2" t="s">
        <v>3187</v>
      </c>
      <c r="L222" s="2" t="s">
        <v>17</v>
      </c>
    </row>
    <row r="223" spans="1:12">
      <c r="A223" s="14" t="s">
        <v>3188</v>
      </c>
      <c r="B223" s="2" t="s">
        <v>3189</v>
      </c>
      <c r="C223" s="2" t="s">
        <v>14</v>
      </c>
      <c r="D223" s="2" t="s">
        <v>15</v>
      </c>
      <c r="E223" s="2" t="s">
        <v>58</v>
      </c>
      <c r="F223" s="9">
        <v>46105</v>
      </c>
      <c r="G223" s="9">
        <v>46068</v>
      </c>
      <c r="H223" s="8">
        <v>109.99</v>
      </c>
      <c r="I223" s="8">
        <v>56.15</v>
      </c>
      <c r="J223" s="9">
        <v>46109</v>
      </c>
      <c r="K223" s="2" t="s">
        <v>3190</v>
      </c>
      <c r="L223" s="2" t="s">
        <v>17</v>
      </c>
    </row>
    <row r="224" spans="1:12">
      <c r="A224" s="14" t="s">
        <v>3191</v>
      </c>
      <c r="B224" s="2" t="s">
        <v>3192</v>
      </c>
      <c r="C224" s="2" t="s">
        <v>14</v>
      </c>
      <c r="D224" s="2" t="s">
        <v>15</v>
      </c>
      <c r="E224" s="2" t="s">
        <v>3064</v>
      </c>
      <c r="F224" s="9">
        <v>46101</v>
      </c>
      <c r="G224" s="9">
        <v>46068</v>
      </c>
      <c r="H224" s="8">
        <v>110.53</v>
      </c>
      <c r="I224" s="8">
        <v>36.869999999999997</v>
      </c>
      <c r="J224" s="9">
        <v>46104</v>
      </c>
      <c r="K224" s="2" t="s">
        <v>3193</v>
      </c>
      <c r="L224" s="2" t="s">
        <v>17</v>
      </c>
    </row>
    <row r="225" spans="1:12">
      <c r="A225" s="14" t="s">
        <v>3194</v>
      </c>
      <c r="B225" s="2" t="s">
        <v>3195</v>
      </c>
      <c r="C225" s="2" t="s">
        <v>14</v>
      </c>
      <c r="D225" s="2" t="s">
        <v>15</v>
      </c>
      <c r="E225" s="2" t="s">
        <v>55</v>
      </c>
      <c r="F225" s="9">
        <v>46101</v>
      </c>
      <c r="G225" s="9">
        <v>46068</v>
      </c>
      <c r="H225" s="8">
        <v>102.45</v>
      </c>
      <c r="I225" s="8">
        <v>23.76</v>
      </c>
      <c r="J225" s="9">
        <v>46106</v>
      </c>
      <c r="K225" s="2" t="s">
        <v>3196</v>
      </c>
      <c r="L225" s="2" t="s">
        <v>17</v>
      </c>
    </row>
    <row r="226" spans="1:12">
      <c r="A226" s="14" t="s">
        <v>3197</v>
      </c>
      <c r="B226" s="2" t="s">
        <v>3198</v>
      </c>
      <c r="C226" s="2" t="s">
        <v>14</v>
      </c>
      <c r="D226" s="2" t="s">
        <v>15</v>
      </c>
      <c r="E226" s="2" t="s">
        <v>16</v>
      </c>
      <c r="F226" s="9">
        <v>46105</v>
      </c>
      <c r="G226" s="9">
        <v>46068</v>
      </c>
      <c r="H226" s="8">
        <v>32.29</v>
      </c>
      <c r="I226" s="8"/>
      <c r="J226" s="9"/>
      <c r="K226" s="2"/>
      <c r="L226" s="2" t="s">
        <v>17</v>
      </c>
    </row>
    <row r="227" spans="1:12">
      <c r="A227" s="14" t="s">
        <v>3199</v>
      </c>
      <c r="B227" s="2" t="s">
        <v>3200</v>
      </c>
      <c r="C227" s="2" t="s">
        <v>14</v>
      </c>
      <c r="D227" s="2" t="s">
        <v>15</v>
      </c>
      <c r="E227" s="2" t="s">
        <v>2703</v>
      </c>
      <c r="F227" s="9">
        <v>46104</v>
      </c>
      <c r="G227" s="9">
        <v>46068</v>
      </c>
      <c r="H227" s="8">
        <v>99.99</v>
      </c>
      <c r="I227" s="8">
        <v>20.64</v>
      </c>
      <c r="J227" s="9">
        <v>46109</v>
      </c>
      <c r="K227" s="2" t="s">
        <v>3201</v>
      </c>
      <c r="L227" s="2" t="s">
        <v>17</v>
      </c>
    </row>
    <row r="228" spans="1:12">
      <c r="A228" s="14" t="s">
        <v>3202</v>
      </c>
      <c r="B228" s="2" t="s">
        <v>3203</v>
      </c>
      <c r="C228" s="2" t="s">
        <v>14</v>
      </c>
      <c r="D228" s="2" t="s">
        <v>15</v>
      </c>
      <c r="E228" s="2" t="s">
        <v>3204</v>
      </c>
      <c r="F228" s="9">
        <v>46105</v>
      </c>
      <c r="G228" s="9">
        <v>46068</v>
      </c>
      <c r="H228" s="8">
        <v>99.99</v>
      </c>
      <c r="I228" s="8">
        <v>35.08</v>
      </c>
      <c r="J228" s="9">
        <v>46108</v>
      </c>
      <c r="K228" s="2" t="s">
        <v>3205</v>
      </c>
      <c r="L228" s="2" t="s">
        <v>17</v>
      </c>
    </row>
    <row r="229" spans="1:12">
      <c r="A229" s="14" t="s">
        <v>3206</v>
      </c>
      <c r="B229" s="2" t="s">
        <v>3207</v>
      </c>
      <c r="C229" s="2" t="s">
        <v>14</v>
      </c>
      <c r="D229" s="2" t="s">
        <v>15</v>
      </c>
      <c r="E229" s="2" t="s">
        <v>16</v>
      </c>
      <c r="F229" s="9">
        <v>46105</v>
      </c>
      <c r="G229" s="9">
        <v>46068</v>
      </c>
      <c r="H229" s="8">
        <v>3.58</v>
      </c>
      <c r="I229" s="8"/>
      <c r="J229" s="9"/>
      <c r="K229" s="2"/>
      <c r="L229" s="2" t="s">
        <v>17</v>
      </c>
    </row>
    <row r="230" spans="1:12">
      <c r="A230" s="14" t="s">
        <v>894</v>
      </c>
      <c r="B230" s="2" t="s">
        <v>895</v>
      </c>
      <c r="C230" s="2" t="s">
        <v>14</v>
      </c>
      <c r="D230" s="2" t="s">
        <v>15</v>
      </c>
      <c r="E230" s="2" t="s">
        <v>3064</v>
      </c>
      <c r="F230" s="9">
        <v>46105</v>
      </c>
      <c r="G230" s="9">
        <v>46068</v>
      </c>
      <c r="H230" s="8">
        <v>60.35</v>
      </c>
      <c r="I230" s="8">
        <v>15.57</v>
      </c>
      <c r="J230" s="9">
        <v>46108</v>
      </c>
      <c r="K230" s="2" t="s">
        <v>3208</v>
      </c>
      <c r="L230" s="2" t="s">
        <v>17</v>
      </c>
    </row>
    <row r="231" spans="1:12">
      <c r="A231" s="14" t="s">
        <v>3209</v>
      </c>
      <c r="B231" s="2" t="s">
        <v>3210</v>
      </c>
      <c r="C231" s="2" t="s">
        <v>14</v>
      </c>
      <c r="D231" s="2" t="s">
        <v>15</v>
      </c>
      <c r="E231" s="2" t="s">
        <v>2742</v>
      </c>
      <c r="F231" s="9">
        <v>46105</v>
      </c>
      <c r="G231" s="9">
        <v>46068</v>
      </c>
      <c r="H231" s="8">
        <v>99.99</v>
      </c>
      <c r="I231" s="8">
        <v>17.55</v>
      </c>
      <c r="J231" s="9">
        <v>46108</v>
      </c>
      <c r="K231" s="2" t="s">
        <v>3211</v>
      </c>
      <c r="L231" s="2" t="s">
        <v>17</v>
      </c>
    </row>
    <row r="232" spans="1:12">
      <c r="A232" s="14" t="s">
        <v>3212</v>
      </c>
      <c r="B232" s="2" t="s">
        <v>3213</v>
      </c>
      <c r="C232" s="2" t="s">
        <v>14</v>
      </c>
      <c r="D232" s="2" t="s">
        <v>15</v>
      </c>
      <c r="E232" s="2" t="s">
        <v>2633</v>
      </c>
      <c r="F232" s="9">
        <v>46105</v>
      </c>
      <c r="G232" s="9">
        <v>46068</v>
      </c>
      <c r="H232" s="8">
        <v>119.99</v>
      </c>
      <c r="I232" s="8">
        <v>27.21</v>
      </c>
      <c r="J232" s="9">
        <v>46108</v>
      </c>
      <c r="K232" s="2" t="s">
        <v>3214</v>
      </c>
      <c r="L232" s="2" t="s">
        <v>17</v>
      </c>
    </row>
    <row r="233" spans="1:12">
      <c r="A233" s="14" t="s">
        <v>3215</v>
      </c>
      <c r="B233" s="2" t="s">
        <v>3216</v>
      </c>
      <c r="C233" s="2" t="s">
        <v>14</v>
      </c>
      <c r="D233" s="2" t="s">
        <v>15</v>
      </c>
      <c r="E233" s="2" t="s">
        <v>2851</v>
      </c>
      <c r="F233" s="9">
        <v>46107</v>
      </c>
      <c r="G233" s="9">
        <v>46068</v>
      </c>
      <c r="H233" s="8">
        <v>109.99</v>
      </c>
      <c r="I233" s="8">
        <v>22.7</v>
      </c>
      <c r="J233" s="9">
        <v>46112</v>
      </c>
      <c r="K233" s="2" t="s">
        <v>3217</v>
      </c>
      <c r="L233" s="2" t="s">
        <v>17</v>
      </c>
    </row>
    <row r="234" spans="1:12">
      <c r="A234" s="14" t="s">
        <v>3218</v>
      </c>
      <c r="B234" s="2" t="s">
        <v>3219</v>
      </c>
      <c r="C234" s="2" t="s">
        <v>14</v>
      </c>
      <c r="D234" s="2" t="s">
        <v>15</v>
      </c>
      <c r="E234" s="2" t="s">
        <v>16</v>
      </c>
      <c r="F234" s="9">
        <v>46105</v>
      </c>
      <c r="G234" s="9">
        <v>46068</v>
      </c>
      <c r="H234" s="8">
        <v>3.58</v>
      </c>
      <c r="I234" s="8"/>
      <c r="J234" s="9"/>
      <c r="K234" s="2"/>
      <c r="L234" s="2" t="s">
        <v>17</v>
      </c>
    </row>
    <row r="235" spans="1:12">
      <c r="A235" s="14" t="s">
        <v>3220</v>
      </c>
      <c r="B235" s="2" t="s">
        <v>3221</v>
      </c>
      <c r="C235" s="2" t="s">
        <v>14</v>
      </c>
      <c r="D235" s="2" t="s">
        <v>15</v>
      </c>
      <c r="E235" s="2" t="s">
        <v>58</v>
      </c>
      <c r="F235" s="9">
        <v>46121</v>
      </c>
      <c r="G235" s="9">
        <v>46068</v>
      </c>
      <c r="H235" s="8">
        <v>49.99</v>
      </c>
      <c r="I235" s="8">
        <v>26.45</v>
      </c>
      <c r="J235" s="9">
        <v>46125</v>
      </c>
      <c r="K235" s="2" t="s">
        <v>3222</v>
      </c>
      <c r="L235" s="2" t="s">
        <v>17</v>
      </c>
    </row>
    <row r="236" spans="1:12">
      <c r="A236" s="14" t="s">
        <v>3223</v>
      </c>
      <c r="B236" s="2" t="s">
        <v>3224</v>
      </c>
      <c r="C236" s="2" t="s">
        <v>14</v>
      </c>
      <c r="D236" s="2" t="s">
        <v>15</v>
      </c>
      <c r="E236" s="2" t="s">
        <v>2633</v>
      </c>
      <c r="F236" s="9">
        <v>46101</v>
      </c>
      <c r="G236" s="9">
        <v>46068</v>
      </c>
      <c r="H236" s="8">
        <v>87.14</v>
      </c>
      <c r="I236" s="8">
        <v>17.97</v>
      </c>
      <c r="J236" s="9">
        <v>46104</v>
      </c>
      <c r="K236" s="2" t="s">
        <v>3225</v>
      </c>
      <c r="L236" s="2" t="s">
        <v>17</v>
      </c>
    </row>
    <row r="237" spans="1:12">
      <c r="A237" s="14" t="s">
        <v>3226</v>
      </c>
      <c r="B237" s="2" t="s">
        <v>3227</v>
      </c>
      <c r="C237" s="2" t="s">
        <v>14</v>
      </c>
      <c r="D237" s="2" t="s">
        <v>15</v>
      </c>
      <c r="E237" s="2" t="s">
        <v>2574</v>
      </c>
      <c r="F237" s="9">
        <v>46105</v>
      </c>
      <c r="G237" s="9">
        <v>46068</v>
      </c>
      <c r="H237" s="8">
        <v>99.99</v>
      </c>
      <c r="I237" s="8">
        <v>17.55</v>
      </c>
      <c r="J237" s="9">
        <v>46109</v>
      </c>
      <c r="K237" s="2" t="s">
        <v>3228</v>
      </c>
      <c r="L237" s="2" t="s">
        <v>17</v>
      </c>
    </row>
    <row r="238" spans="1:12">
      <c r="A238" s="14" t="s">
        <v>1012</v>
      </c>
      <c r="B238" s="2" t="s">
        <v>1013</v>
      </c>
      <c r="C238" s="2" t="s">
        <v>14</v>
      </c>
      <c r="D238" s="2" t="s">
        <v>15</v>
      </c>
      <c r="E238" s="2" t="s">
        <v>16</v>
      </c>
      <c r="F238" s="9">
        <v>46105</v>
      </c>
      <c r="G238" s="9">
        <v>46068</v>
      </c>
      <c r="H238" s="8">
        <v>16.16</v>
      </c>
      <c r="I238" s="8"/>
      <c r="J238" s="9"/>
      <c r="K238" s="2"/>
      <c r="L238" s="2" t="s">
        <v>17</v>
      </c>
    </row>
    <row r="239" spans="1:12">
      <c r="A239" s="14" t="s">
        <v>3229</v>
      </c>
      <c r="B239" s="2" t="s">
        <v>3230</v>
      </c>
      <c r="C239" s="2" t="s">
        <v>14</v>
      </c>
      <c r="D239" s="2" t="s">
        <v>15</v>
      </c>
      <c r="E239" s="2" t="s">
        <v>2633</v>
      </c>
      <c r="F239" s="9">
        <v>46105</v>
      </c>
      <c r="G239" s="9">
        <v>46068</v>
      </c>
      <c r="H239" s="8">
        <v>131</v>
      </c>
      <c r="I239" s="8">
        <v>37.909999999999997</v>
      </c>
      <c r="J239" s="9">
        <v>46109</v>
      </c>
      <c r="K239" s="2" t="s">
        <v>3231</v>
      </c>
      <c r="L239" s="2" t="s">
        <v>17</v>
      </c>
    </row>
    <row r="240" spans="1:12">
      <c r="A240" s="14" t="s">
        <v>3232</v>
      </c>
      <c r="B240" s="2" t="s">
        <v>3233</v>
      </c>
      <c r="C240" s="2" t="s">
        <v>14</v>
      </c>
      <c r="D240" s="2" t="s">
        <v>15</v>
      </c>
      <c r="E240" s="2" t="s">
        <v>55</v>
      </c>
      <c r="F240" s="9">
        <v>46126</v>
      </c>
      <c r="G240" s="9">
        <v>46068</v>
      </c>
      <c r="H240" s="8">
        <v>122.48</v>
      </c>
      <c r="I240" s="8">
        <v>48.71</v>
      </c>
      <c r="J240" s="9">
        <v>46129</v>
      </c>
      <c r="K240" s="2" t="s">
        <v>3234</v>
      </c>
      <c r="L240" s="2" t="s">
        <v>17</v>
      </c>
    </row>
    <row r="241" spans="1:12">
      <c r="A241" s="14" t="s">
        <v>3235</v>
      </c>
      <c r="B241" s="2" t="s">
        <v>3236</v>
      </c>
      <c r="C241" s="2" t="s">
        <v>14</v>
      </c>
      <c r="D241" s="2" t="s">
        <v>15</v>
      </c>
      <c r="E241" s="2" t="s">
        <v>3064</v>
      </c>
      <c r="F241" s="9">
        <v>46105</v>
      </c>
      <c r="G241" s="9">
        <v>46068</v>
      </c>
      <c r="H241" s="8">
        <v>120.31</v>
      </c>
      <c r="I241" s="8">
        <v>33.64</v>
      </c>
      <c r="J241" s="9">
        <v>46108</v>
      </c>
      <c r="K241" s="2" t="s">
        <v>3237</v>
      </c>
      <c r="L241" s="2" t="s">
        <v>17</v>
      </c>
    </row>
    <row r="242" spans="1:12">
      <c r="A242" s="14" t="s">
        <v>3238</v>
      </c>
      <c r="B242" s="2" t="s">
        <v>3239</v>
      </c>
      <c r="C242" s="2" t="s">
        <v>14</v>
      </c>
      <c r="D242" s="2" t="s">
        <v>15</v>
      </c>
      <c r="E242" s="2" t="s">
        <v>2851</v>
      </c>
      <c r="F242" s="9">
        <v>46101</v>
      </c>
      <c r="G242" s="9">
        <v>46068</v>
      </c>
      <c r="H242" s="8">
        <v>109.99</v>
      </c>
      <c r="I242" s="8">
        <v>28.08</v>
      </c>
      <c r="J242" s="9">
        <v>46076</v>
      </c>
      <c r="K242" s="2" t="s">
        <v>3240</v>
      </c>
      <c r="L242" s="2" t="s">
        <v>17</v>
      </c>
    </row>
    <row r="243" spans="1:12">
      <c r="A243" s="14" t="s">
        <v>917</v>
      </c>
      <c r="B243" s="2" t="s">
        <v>3241</v>
      </c>
      <c r="C243" s="2" t="s">
        <v>14</v>
      </c>
      <c r="D243" s="2" t="s">
        <v>15</v>
      </c>
      <c r="E243" s="2" t="s">
        <v>16</v>
      </c>
      <c r="F243" s="9">
        <v>46105</v>
      </c>
      <c r="G243" s="9">
        <v>46068</v>
      </c>
      <c r="H243" s="8">
        <v>3.58</v>
      </c>
      <c r="I243" s="8"/>
      <c r="J243" s="9"/>
      <c r="K243" s="2"/>
      <c r="L243" s="2" t="s">
        <v>17</v>
      </c>
    </row>
    <row r="244" spans="1:12">
      <c r="A244" s="14" t="s">
        <v>3242</v>
      </c>
      <c r="B244" s="2" t="s">
        <v>3243</v>
      </c>
      <c r="C244" s="2" t="s">
        <v>14</v>
      </c>
      <c r="D244" s="2" t="s">
        <v>15</v>
      </c>
      <c r="E244" s="2" t="s">
        <v>55</v>
      </c>
      <c r="F244" s="9">
        <v>46106</v>
      </c>
      <c r="G244" s="9">
        <v>46068</v>
      </c>
      <c r="H244" s="8">
        <v>119.99</v>
      </c>
      <c r="I244" s="8">
        <v>26.76</v>
      </c>
      <c r="J244" s="9">
        <v>46112</v>
      </c>
      <c r="K244" s="2" t="s">
        <v>3244</v>
      </c>
      <c r="L244" s="2" t="s">
        <v>17</v>
      </c>
    </row>
    <row r="245" spans="1:12">
      <c r="A245" s="14" t="s">
        <v>3245</v>
      </c>
      <c r="B245" s="2" t="s">
        <v>3246</v>
      </c>
      <c r="C245" s="2" t="s">
        <v>14</v>
      </c>
      <c r="D245" s="2" t="s">
        <v>15</v>
      </c>
      <c r="E245" s="2" t="s">
        <v>55</v>
      </c>
      <c r="F245" s="9">
        <v>46105</v>
      </c>
      <c r="G245" s="9">
        <v>46068</v>
      </c>
      <c r="H245" s="8">
        <v>109.99</v>
      </c>
      <c r="I245" s="8">
        <v>51.21</v>
      </c>
      <c r="J245" s="9">
        <v>46108</v>
      </c>
      <c r="K245" s="2" t="s">
        <v>3247</v>
      </c>
      <c r="L245" s="2" t="s">
        <v>17</v>
      </c>
    </row>
    <row r="246" spans="1:12">
      <c r="A246" s="14" t="s">
        <v>3248</v>
      </c>
      <c r="B246" s="2" t="s">
        <v>3249</v>
      </c>
      <c r="C246" s="2" t="s">
        <v>14</v>
      </c>
      <c r="D246" s="2" t="s">
        <v>15</v>
      </c>
      <c r="E246" s="2" t="s">
        <v>3064</v>
      </c>
      <c r="F246" s="9">
        <v>46107</v>
      </c>
      <c r="G246" s="9">
        <v>46068</v>
      </c>
      <c r="H246" s="8">
        <v>81.540000000000006</v>
      </c>
      <c r="I246" s="8">
        <v>28.57</v>
      </c>
      <c r="J246" s="9">
        <v>46112</v>
      </c>
      <c r="K246" s="2" t="s">
        <v>3250</v>
      </c>
      <c r="L246" s="2" t="s">
        <v>17</v>
      </c>
    </row>
    <row r="247" spans="1:12">
      <c r="A247" s="14" t="s">
        <v>3251</v>
      </c>
      <c r="B247" s="2" t="s">
        <v>3252</v>
      </c>
      <c r="C247" s="2" t="s">
        <v>14</v>
      </c>
      <c r="D247" s="2" t="s">
        <v>15</v>
      </c>
      <c r="E247" s="2" t="s">
        <v>55</v>
      </c>
      <c r="F247" s="9">
        <v>46105</v>
      </c>
      <c r="G247" s="9">
        <v>46068</v>
      </c>
      <c r="H247" s="8">
        <v>109.99</v>
      </c>
      <c r="I247" s="8">
        <v>35.72</v>
      </c>
      <c r="J247" s="9">
        <v>46110</v>
      </c>
      <c r="K247" s="2" t="s">
        <v>3253</v>
      </c>
      <c r="L247" s="2" t="s">
        <v>17</v>
      </c>
    </row>
    <row r="248" spans="1:12">
      <c r="A248" s="14" t="s">
        <v>3254</v>
      </c>
      <c r="B248" s="2" t="s">
        <v>3255</v>
      </c>
      <c r="C248" s="2" t="s">
        <v>14</v>
      </c>
      <c r="D248" s="2" t="s">
        <v>15</v>
      </c>
      <c r="E248" s="2" t="s">
        <v>58</v>
      </c>
      <c r="F248" s="9">
        <v>46105</v>
      </c>
      <c r="G248" s="9">
        <v>46068</v>
      </c>
      <c r="H248" s="8">
        <v>110.21</v>
      </c>
      <c r="I248" s="8">
        <v>28.66</v>
      </c>
      <c r="J248" s="9">
        <v>46110</v>
      </c>
      <c r="K248" s="2" t="s">
        <v>3256</v>
      </c>
      <c r="L248" s="2" t="s">
        <v>17</v>
      </c>
    </row>
    <row r="249" spans="1:12">
      <c r="A249" s="14" t="s">
        <v>3257</v>
      </c>
      <c r="B249" s="2" t="s">
        <v>3258</v>
      </c>
      <c r="C249" s="2" t="s">
        <v>14</v>
      </c>
      <c r="D249" s="2" t="s">
        <v>15</v>
      </c>
      <c r="E249" s="2" t="s">
        <v>2574</v>
      </c>
      <c r="F249" s="9">
        <v>46105</v>
      </c>
      <c r="G249" s="9">
        <v>46068</v>
      </c>
      <c r="H249" s="8">
        <v>93.5</v>
      </c>
      <c r="I249" s="8">
        <v>35.75</v>
      </c>
      <c r="J249" s="9">
        <v>46109</v>
      </c>
      <c r="K249" s="2" t="s">
        <v>3247</v>
      </c>
      <c r="L249" s="2" t="s">
        <v>17</v>
      </c>
    </row>
    <row r="250" spans="1:12">
      <c r="A250" s="14" t="s">
        <v>3259</v>
      </c>
      <c r="B250" s="2" t="s">
        <v>3260</v>
      </c>
      <c r="C250" s="2" t="s">
        <v>14</v>
      </c>
      <c r="D250" s="2" t="s">
        <v>15</v>
      </c>
      <c r="E250" s="2" t="s">
        <v>55</v>
      </c>
      <c r="F250" s="9">
        <v>46105</v>
      </c>
      <c r="G250" s="9">
        <v>46068</v>
      </c>
      <c r="H250" s="8">
        <v>110.97</v>
      </c>
      <c r="I250" s="8">
        <v>28.77</v>
      </c>
      <c r="J250" s="9">
        <v>46109</v>
      </c>
      <c r="K250" s="2" t="s">
        <v>3261</v>
      </c>
      <c r="L250" s="2" t="s">
        <v>17</v>
      </c>
    </row>
    <row r="251" spans="1:12">
      <c r="A251" s="14" t="s">
        <v>3262</v>
      </c>
      <c r="B251" s="2" t="s">
        <v>3263</v>
      </c>
      <c r="C251" s="2" t="s">
        <v>14</v>
      </c>
      <c r="D251" s="2" t="s">
        <v>15</v>
      </c>
      <c r="E251" s="2" t="s">
        <v>55</v>
      </c>
      <c r="F251" s="9">
        <v>46104</v>
      </c>
      <c r="G251" s="9">
        <v>46068</v>
      </c>
      <c r="H251" s="8">
        <v>119.99</v>
      </c>
      <c r="I251" s="8">
        <v>36.31</v>
      </c>
      <c r="J251" s="9">
        <v>46109</v>
      </c>
      <c r="K251" s="2" t="s">
        <v>3264</v>
      </c>
      <c r="L251" s="2" t="s">
        <v>17</v>
      </c>
    </row>
    <row r="252" spans="1:12">
      <c r="A252" s="14" t="s">
        <v>3265</v>
      </c>
      <c r="B252" s="2" t="s">
        <v>3266</v>
      </c>
      <c r="C252" s="2" t="s">
        <v>14</v>
      </c>
      <c r="D252" s="2" t="s">
        <v>15</v>
      </c>
      <c r="E252" s="2" t="s">
        <v>16</v>
      </c>
      <c r="F252" s="9">
        <v>46105</v>
      </c>
      <c r="G252" s="9">
        <v>46068</v>
      </c>
      <c r="H252" s="8">
        <v>27.44</v>
      </c>
      <c r="I252" s="8"/>
      <c r="J252" s="9"/>
      <c r="K252" s="2"/>
      <c r="L252" s="2" t="s">
        <v>17</v>
      </c>
    </row>
    <row r="253" spans="1:12">
      <c r="A253" s="14" t="s">
        <v>3267</v>
      </c>
      <c r="B253" s="2" t="s">
        <v>3268</v>
      </c>
      <c r="C253" s="2" t="s">
        <v>14</v>
      </c>
      <c r="D253" s="2" t="s">
        <v>15</v>
      </c>
      <c r="E253" s="2" t="s">
        <v>2851</v>
      </c>
      <c r="F253" s="9">
        <v>46104</v>
      </c>
      <c r="G253" s="9">
        <v>46068</v>
      </c>
      <c r="H253" s="8">
        <v>89.99</v>
      </c>
      <c r="I253" s="8">
        <v>22.13</v>
      </c>
      <c r="J253" s="9">
        <v>46108</v>
      </c>
      <c r="K253" s="2" t="s">
        <v>3269</v>
      </c>
      <c r="L253" s="2" t="s">
        <v>17</v>
      </c>
    </row>
    <row r="254" spans="1:12">
      <c r="A254" s="14" t="s">
        <v>3270</v>
      </c>
      <c r="B254" s="2" t="s">
        <v>3271</v>
      </c>
      <c r="C254" s="2" t="s">
        <v>14</v>
      </c>
      <c r="D254" s="2" t="s">
        <v>15</v>
      </c>
      <c r="E254" s="2" t="s">
        <v>55</v>
      </c>
      <c r="F254" s="9">
        <v>46104</v>
      </c>
      <c r="G254" s="9">
        <v>46068</v>
      </c>
      <c r="H254" s="8">
        <v>101.49</v>
      </c>
      <c r="I254" s="8">
        <v>13.35</v>
      </c>
      <c r="J254" s="9">
        <v>46107</v>
      </c>
      <c r="K254" s="2" t="s">
        <v>3272</v>
      </c>
      <c r="L254" s="2" t="s">
        <v>17</v>
      </c>
    </row>
    <row r="255" spans="1:12">
      <c r="A255" s="14" t="s">
        <v>1010</v>
      </c>
      <c r="B255" s="2" t="s">
        <v>1011</v>
      </c>
      <c r="C255" s="2" t="s">
        <v>14</v>
      </c>
      <c r="D255" s="2" t="s">
        <v>15</v>
      </c>
      <c r="E255" s="2" t="s">
        <v>16</v>
      </c>
      <c r="F255" s="9">
        <v>46105</v>
      </c>
      <c r="G255" s="9">
        <v>46068</v>
      </c>
      <c r="H255" s="8">
        <v>27.44</v>
      </c>
      <c r="I255" s="8"/>
      <c r="J255" s="9"/>
      <c r="K255" s="2"/>
      <c r="L255" s="2" t="s">
        <v>17</v>
      </c>
    </row>
    <row r="256" spans="1:12">
      <c r="A256" s="14" t="s">
        <v>3273</v>
      </c>
      <c r="B256" s="2" t="s">
        <v>3274</v>
      </c>
      <c r="C256" s="2" t="s">
        <v>14</v>
      </c>
      <c r="D256" s="2" t="s">
        <v>15</v>
      </c>
      <c r="E256" s="2" t="s">
        <v>55</v>
      </c>
      <c r="F256" s="9">
        <v>46104</v>
      </c>
      <c r="G256" s="9">
        <v>46068</v>
      </c>
      <c r="H256" s="8">
        <v>99.99</v>
      </c>
      <c r="I256" s="8">
        <v>11.83</v>
      </c>
      <c r="J256" s="9">
        <v>46109</v>
      </c>
      <c r="K256" s="2" t="s">
        <v>3275</v>
      </c>
      <c r="L256" s="2" t="s">
        <v>17</v>
      </c>
    </row>
    <row r="257" spans="1:12">
      <c r="A257" s="14" t="s">
        <v>3276</v>
      </c>
      <c r="B257" s="2" t="s">
        <v>3277</v>
      </c>
      <c r="C257" s="2" t="s">
        <v>14</v>
      </c>
      <c r="D257" s="2" t="s">
        <v>15</v>
      </c>
      <c r="E257" s="2" t="s">
        <v>55</v>
      </c>
      <c r="F257" s="9">
        <v>46104</v>
      </c>
      <c r="G257" s="9">
        <v>46068</v>
      </c>
      <c r="H257" s="8">
        <v>109.99</v>
      </c>
      <c r="I257" s="8">
        <v>19.29</v>
      </c>
      <c r="J257" s="9">
        <v>46107</v>
      </c>
      <c r="K257" s="2" t="s">
        <v>3278</v>
      </c>
      <c r="L257" s="2" t="s">
        <v>17</v>
      </c>
    </row>
    <row r="258" spans="1:12">
      <c r="A258" s="14" t="s">
        <v>3279</v>
      </c>
      <c r="B258" s="2" t="s">
        <v>3280</v>
      </c>
      <c r="C258" s="2" t="s">
        <v>14</v>
      </c>
      <c r="D258" s="2" t="s">
        <v>15</v>
      </c>
      <c r="E258" s="2" t="s">
        <v>3204</v>
      </c>
      <c r="F258" s="9">
        <v>46104</v>
      </c>
      <c r="G258" s="9">
        <v>46068</v>
      </c>
      <c r="H258" s="8">
        <v>130</v>
      </c>
      <c r="I258" s="8">
        <v>43.93</v>
      </c>
      <c r="J258" s="9">
        <v>46108</v>
      </c>
      <c r="K258" s="2" t="s">
        <v>3281</v>
      </c>
      <c r="L258" s="2" t="s">
        <v>17</v>
      </c>
    </row>
    <row r="259" spans="1:12">
      <c r="A259" s="14" t="s">
        <v>942</v>
      </c>
      <c r="B259" s="2" t="s">
        <v>943</v>
      </c>
      <c r="C259" s="2" t="s">
        <v>14</v>
      </c>
      <c r="D259" s="2" t="s">
        <v>15</v>
      </c>
      <c r="E259" s="2" t="s">
        <v>16</v>
      </c>
      <c r="F259" s="9">
        <v>46105</v>
      </c>
      <c r="G259" s="9">
        <v>46068</v>
      </c>
      <c r="H259" s="8">
        <v>10.68</v>
      </c>
      <c r="I259" s="8"/>
      <c r="J259" s="9"/>
      <c r="K259" s="2"/>
      <c r="L259" s="2" t="s">
        <v>17</v>
      </c>
    </row>
    <row r="260" spans="1:12">
      <c r="A260" s="14" t="s">
        <v>3282</v>
      </c>
      <c r="B260" s="2" t="s">
        <v>3283</v>
      </c>
      <c r="C260" s="2" t="s">
        <v>14</v>
      </c>
      <c r="D260" s="2" t="s">
        <v>15</v>
      </c>
      <c r="E260" s="2" t="s">
        <v>2851</v>
      </c>
      <c r="F260" s="9">
        <v>46105</v>
      </c>
      <c r="G260" s="9">
        <v>46068</v>
      </c>
      <c r="H260" s="8">
        <v>85.21</v>
      </c>
      <c r="I260" s="8">
        <v>18.510000000000002</v>
      </c>
      <c r="J260" s="9">
        <v>46107</v>
      </c>
      <c r="K260" s="2" t="s">
        <v>3284</v>
      </c>
      <c r="L260" s="2" t="s">
        <v>17</v>
      </c>
    </row>
    <row r="261" spans="1:12">
      <c r="A261" s="14" t="s">
        <v>3285</v>
      </c>
      <c r="B261" s="2" t="s">
        <v>3286</v>
      </c>
      <c r="C261" s="2" t="s">
        <v>14</v>
      </c>
      <c r="D261" s="2" t="s">
        <v>15</v>
      </c>
      <c r="E261" s="2" t="s">
        <v>58</v>
      </c>
      <c r="F261" s="9">
        <v>46105</v>
      </c>
      <c r="G261" s="9">
        <v>46068</v>
      </c>
      <c r="H261" s="8">
        <v>129.99</v>
      </c>
      <c r="I261" s="8">
        <v>22.81</v>
      </c>
      <c r="J261" s="9">
        <v>46108</v>
      </c>
      <c r="K261" s="2" t="s">
        <v>3287</v>
      </c>
      <c r="L261" s="2" t="s">
        <v>17</v>
      </c>
    </row>
    <row r="262" spans="1:12">
      <c r="A262" s="14" t="s">
        <v>3288</v>
      </c>
      <c r="B262" s="2" t="s">
        <v>3289</v>
      </c>
      <c r="C262" s="2" t="s">
        <v>14</v>
      </c>
      <c r="D262" s="2" t="s">
        <v>15</v>
      </c>
      <c r="E262" s="2" t="s">
        <v>55</v>
      </c>
      <c r="F262" s="9">
        <v>46101</v>
      </c>
      <c r="G262" s="9">
        <v>46068</v>
      </c>
      <c r="H262" s="8">
        <v>122.79</v>
      </c>
      <c r="I262" s="8">
        <v>33.03</v>
      </c>
      <c r="J262" s="9">
        <v>46105</v>
      </c>
      <c r="K262" s="2" t="s">
        <v>3290</v>
      </c>
      <c r="L262" s="2" t="s">
        <v>17</v>
      </c>
    </row>
    <row r="263" spans="1:12">
      <c r="A263" s="14" t="s">
        <v>3291</v>
      </c>
      <c r="B263" s="2" t="s">
        <v>3292</v>
      </c>
      <c r="C263" s="2" t="s">
        <v>14</v>
      </c>
      <c r="D263" s="2" t="s">
        <v>15</v>
      </c>
      <c r="E263" s="2" t="s">
        <v>3064</v>
      </c>
      <c r="F263" s="9">
        <v>46106</v>
      </c>
      <c r="G263" s="9">
        <v>46068</v>
      </c>
      <c r="H263" s="8">
        <v>109.99</v>
      </c>
      <c r="I263" s="8">
        <v>41.35</v>
      </c>
      <c r="J263" s="9">
        <v>46111</v>
      </c>
      <c r="K263" s="2" t="s">
        <v>3293</v>
      </c>
      <c r="L263" s="2" t="s">
        <v>17</v>
      </c>
    </row>
    <row r="264" spans="1:12">
      <c r="A264" s="14" t="s">
        <v>3294</v>
      </c>
      <c r="B264" s="2" t="s">
        <v>3295</v>
      </c>
      <c r="C264" s="2" t="s">
        <v>14</v>
      </c>
      <c r="D264" s="2" t="s">
        <v>15</v>
      </c>
      <c r="E264" s="2" t="s">
        <v>16</v>
      </c>
      <c r="F264" s="9">
        <v>46105</v>
      </c>
      <c r="G264" s="9">
        <v>46068</v>
      </c>
      <c r="H264" s="8">
        <v>3.26</v>
      </c>
      <c r="I264" s="8"/>
      <c r="J264" s="9"/>
      <c r="K264" s="2"/>
      <c r="L264" s="2" t="s">
        <v>17</v>
      </c>
    </row>
    <row r="265" spans="1:12">
      <c r="A265" s="14" t="s">
        <v>3296</v>
      </c>
      <c r="B265" s="2" t="s">
        <v>3297</v>
      </c>
      <c r="C265" s="2" t="s">
        <v>14</v>
      </c>
      <c r="D265" s="2" t="s">
        <v>15</v>
      </c>
      <c r="E265" s="2" t="s">
        <v>2742</v>
      </c>
      <c r="F265" s="9">
        <v>46105</v>
      </c>
      <c r="G265" s="9">
        <v>46068</v>
      </c>
      <c r="H265" s="8">
        <v>120</v>
      </c>
      <c r="I265" s="8">
        <v>48.82</v>
      </c>
      <c r="J265" s="9">
        <v>46109</v>
      </c>
      <c r="K265" s="2" t="s">
        <v>3298</v>
      </c>
      <c r="L265" s="2" t="s">
        <v>17</v>
      </c>
    </row>
    <row r="266" spans="1:12">
      <c r="A266" s="14" t="s">
        <v>3299</v>
      </c>
      <c r="B266" s="2" t="s">
        <v>3300</v>
      </c>
      <c r="C266" s="2" t="s">
        <v>14</v>
      </c>
      <c r="D266" s="2" t="s">
        <v>15</v>
      </c>
      <c r="E266" s="2" t="s">
        <v>2703</v>
      </c>
      <c r="F266" s="9">
        <v>46104</v>
      </c>
      <c r="G266" s="9">
        <v>46068</v>
      </c>
      <c r="H266" s="8">
        <v>119.99</v>
      </c>
      <c r="I266" s="8">
        <v>62.59</v>
      </c>
      <c r="J266" s="9">
        <v>46109</v>
      </c>
      <c r="K266" s="2" t="s">
        <v>3301</v>
      </c>
      <c r="L266" s="2" t="s">
        <v>17</v>
      </c>
    </row>
    <row r="267" spans="1:12">
      <c r="A267" s="14" t="s">
        <v>3302</v>
      </c>
      <c r="B267" s="2" t="s">
        <v>3303</v>
      </c>
      <c r="C267" s="2" t="s">
        <v>14</v>
      </c>
      <c r="D267" s="2" t="s">
        <v>15</v>
      </c>
      <c r="E267" s="2" t="s">
        <v>2574</v>
      </c>
      <c r="F267" s="9">
        <v>46104</v>
      </c>
      <c r="G267" s="9">
        <v>46068</v>
      </c>
      <c r="H267" s="8">
        <v>123.3</v>
      </c>
      <c r="I267" s="8">
        <v>38.65</v>
      </c>
      <c r="J267" s="9">
        <v>46108</v>
      </c>
      <c r="K267" s="2" t="s">
        <v>3304</v>
      </c>
      <c r="L267" s="2" t="s">
        <v>17</v>
      </c>
    </row>
    <row r="268" spans="1:12">
      <c r="A268" s="14" t="s">
        <v>3305</v>
      </c>
      <c r="B268" s="2" t="s">
        <v>3306</v>
      </c>
      <c r="C268" s="2" t="s">
        <v>14</v>
      </c>
      <c r="D268" s="2" t="s">
        <v>15</v>
      </c>
      <c r="E268" s="2" t="s">
        <v>55</v>
      </c>
      <c r="F268" s="9">
        <v>46105</v>
      </c>
      <c r="G268" s="9">
        <v>46068</v>
      </c>
      <c r="H268" s="8">
        <v>109.99</v>
      </c>
      <c r="I268" s="8">
        <v>29.03</v>
      </c>
      <c r="J268" s="9">
        <v>46108</v>
      </c>
      <c r="K268" s="2" t="s">
        <v>3307</v>
      </c>
      <c r="L268" s="2" t="s">
        <v>17</v>
      </c>
    </row>
    <row r="269" spans="1:12">
      <c r="A269" s="14" t="s">
        <v>3308</v>
      </c>
      <c r="B269" s="2" t="s">
        <v>3309</v>
      </c>
      <c r="C269" s="2" t="s">
        <v>14</v>
      </c>
      <c r="D269" s="2" t="s">
        <v>15</v>
      </c>
      <c r="E269" s="2" t="s">
        <v>3064</v>
      </c>
      <c r="F269" s="9">
        <v>46105</v>
      </c>
      <c r="G269" s="9">
        <v>46068</v>
      </c>
      <c r="H269" s="8">
        <v>109.99</v>
      </c>
      <c r="I269" s="8">
        <v>37.83</v>
      </c>
      <c r="J269" s="9">
        <v>46110</v>
      </c>
      <c r="K269" s="2" t="s">
        <v>3310</v>
      </c>
      <c r="L269" s="2" t="s">
        <v>17</v>
      </c>
    </row>
    <row r="270" spans="1:12">
      <c r="A270" s="14" t="s">
        <v>3311</v>
      </c>
      <c r="B270" s="2" t="s">
        <v>3312</v>
      </c>
      <c r="C270" s="2" t="s">
        <v>14</v>
      </c>
      <c r="D270" s="2" t="s">
        <v>15</v>
      </c>
      <c r="E270" s="2" t="s">
        <v>58</v>
      </c>
      <c r="F270" s="9">
        <v>46104</v>
      </c>
      <c r="G270" s="9">
        <v>46068</v>
      </c>
      <c r="H270" s="8">
        <v>99.99</v>
      </c>
      <c r="I270" s="8">
        <v>27.46</v>
      </c>
      <c r="J270" s="9">
        <v>46109</v>
      </c>
      <c r="K270" s="2" t="s">
        <v>3313</v>
      </c>
      <c r="L270" s="2" t="s">
        <v>17</v>
      </c>
    </row>
    <row r="271" spans="1:12">
      <c r="A271" s="14" t="s">
        <v>3314</v>
      </c>
      <c r="B271" s="2" t="s">
        <v>3315</v>
      </c>
      <c r="C271" s="2" t="s">
        <v>14</v>
      </c>
      <c r="D271" s="2" t="s">
        <v>15</v>
      </c>
      <c r="E271" s="2" t="s">
        <v>3204</v>
      </c>
      <c r="F271" s="9">
        <v>46104</v>
      </c>
      <c r="G271" s="9">
        <v>46068</v>
      </c>
      <c r="H271" s="8">
        <v>98.24</v>
      </c>
      <c r="I271" s="8">
        <v>44.11</v>
      </c>
      <c r="J271" s="9">
        <v>46108</v>
      </c>
      <c r="K271" s="2" t="s">
        <v>3316</v>
      </c>
      <c r="L271" s="2" t="s">
        <v>17</v>
      </c>
    </row>
    <row r="272" spans="1:12">
      <c r="A272" s="14" t="s">
        <v>3317</v>
      </c>
      <c r="B272" s="2" t="s">
        <v>3318</v>
      </c>
      <c r="C272" s="2" t="s">
        <v>14</v>
      </c>
      <c r="D272" s="2" t="s">
        <v>15</v>
      </c>
      <c r="E272" s="2" t="s">
        <v>2703</v>
      </c>
      <c r="F272" s="9">
        <v>46104</v>
      </c>
      <c r="G272" s="9">
        <v>46068</v>
      </c>
      <c r="H272" s="8">
        <v>129.99</v>
      </c>
      <c r="I272" s="8">
        <v>57.67</v>
      </c>
      <c r="J272" s="9">
        <v>46109</v>
      </c>
      <c r="K272" s="2" t="s">
        <v>3319</v>
      </c>
      <c r="L272" s="2" t="s">
        <v>17</v>
      </c>
    </row>
    <row r="273" spans="1:12">
      <c r="A273" s="14" t="s">
        <v>3320</v>
      </c>
      <c r="B273" s="2" t="s">
        <v>3321</v>
      </c>
      <c r="C273" s="2" t="s">
        <v>14</v>
      </c>
      <c r="D273" s="2" t="s">
        <v>15</v>
      </c>
      <c r="E273" s="2" t="s">
        <v>58</v>
      </c>
      <c r="F273" s="9">
        <v>46114</v>
      </c>
      <c r="G273" s="9">
        <v>46068</v>
      </c>
      <c r="H273" s="8">
        <v>99.99</v>
      </c>
      <c r="I273" s="8">
        <v>22.74</v>
      </c>
      <c r="J273" s="9">
        <v>46118</v>
      </c>
      <c r="K273" s="2" t="s">
        <v>3322</v>
      </c>
      <c r="L273" s="2" t="s">
        <v>17</v>
      </c>
    </row>
    <row r="274" spans="1:12">
      <c r="A274" s="14" t="s">
        <v>3323</v>
      </c>
      <c r="B274" s="2" t="s">
        <v>3324</v>
      </c>
      <c r="C274" s="2" t="s">
        <v>14</v>
      </c>
      <c r="D274" s="2" t="s">
        <v>15</v>
      </c>
      <c r="E274" s="2" t="s">
        <v>2742</v>
      </c>
      <c r="F274" s="9">
        <v>46105</v>
      </c>
      <c r="G274" s="9">
        <v>46068</v>
      </c>
      <c r="H274" s="8">
        <v>109.99</v>
      </c>
      <c r="I274" s="8">
        <v>30.14</v>
      </c>
      <c r="J274" s="9">
        <v>46108</v>
      </c>
      <c r="K274" s="2" t="s">
        <v>3325</v>
      </c>
      <c r="L274" s="2" t="s">
        <v>17</v>
      </c>
    </row>
    <row r="275" spans="1:12">
      <c r="A275" s="14" t="s">
        <v>3326</v>
      </c>
      <c r="B275" s="2" t="s">
        <v>3327</v>
      </c>
      <c r="C275" s="2" t="s">
        <v>14</v>
      </c>
      <c r="D275" s="2" t="s">
        <v>15</v>
      </c>
      <c r="E275" s="2" t="s">
        <v>58</v>
      </c>
      <c r="F275" s="9">
        <v>46113</v>
      </c>
      <c r="G275" s="9">
        <v>46068</v>
      </c>
      <c r="H275" s="8">
        <v>99.99</v>
      </c>
      <c r="I275" s="8">
        <v>30</v>
      </c>
      <c r="J275" s="9">
        <v>46116</v>
      </c>
      <c r="K275" s="2" t="s">
        <v>3328</v>
      </c>
      <c r="L275" s="2" t="s">
        <v>17</v>
      </c>
    </row>
    <row r="276" spans="1:12">
      <c r="A276" s="14" t="s">
        <v>3329</v>
      </c>
      <c r="B276" s="2" t="s">
        <v>3330</v>
      </c>
      <c r="C276" s="2" t="s">
        <v>14</v>
      </c>
      <c r="D276" s="2" t="s">
        <v>15</v>
      </c>
      <c r="E276" s="2" t="s">
        <v>2633</v>
      </c>
      <c r="F276" s="9">
        <v>46104</v>
      </c>
      <c r="G276" s="9">
        <v>46068</v>
      </c>
      <c r="H276" s="8">
        <v>99.99</v>
      </c>
      <c r="I276" s="8">
        <v>25.92</v>
      </c>
      <c r="J276" s="9">
        <v>46109</v>
      </c>
      <c r="K276" s="2" t="s">
        <v>3331</v>
      </c>
      <c r="L276" s="2" t="s">
        <v>17</v>
      </c>
    </row>
    <row r="277" spans="1:12">
      <c r="A277" s="14" t="s">
        <v>3329</v>
      </c>
      <c r="B277" s="2" t="s">
        <v>3332</v>
      </c>
      <c r="C277" s="2" t="s">
        <v>14</v>
      </c>
      <c r="D277" s="2" t="s">
        <v>15</v>
      </c>
      <c r="E277" s="2" t="s">
        <v>2633</v>
      </c>
      <c r="F277" s="9">
        <v>46104</v>
      </c>
      <c r="G277" s="9">
        <v>46068</v>
      </c>
      <c r="H277" s="8">
        <v>99.99</v>
      </c>
      <c r="I277" s="8">
        <v>39.520000000000003</v>
      </c>
      <c r="J277" s="9">
        <v>46109</v>
      </c>
      <c r="K277" s="2" t="s">
        <v>3333</v>
      </c>
      <c r="L277" s="2" t="s">
        <v>17</v>
      </c>
    </row>
    <row r="278" spans="1:12">
      <c r="A278" s="14" t="s">
        <v>3334</v>
      </c>
      <c r="B278" s="2" t="s">
        <v>3335</v>
      </c>
      <c r="C278" s="2" t="s">
        <v>14</v>
      </c>
      <c r="D278" s="2" t="s">
        <v>15</v>
      </c>
      <c r="E278" s="2" t="s">
        <v>55</v>
      </c>
      <c r="F278" s="9">
        <v>46106</v>
      </c>
      <c r="G278" s="9">
        <v>46068</v>
      </c>
      <c r="H278" s="8">
        <v>119.99</v>
      </c>
      <c r="I278" s="8">
        <v>41.9</v>
      </c>
      <c r="J278" s="9">
        <v>46111</v>
      </c>
      <c r="K278" s="2" t="s">
        <v>3336</v>
      </c>
      <c r="L278" s="2" t="s">
        <v>17</v>
      </c>
    </row>
    <row r="279" spans="1:12">
      <c r="A279" s="14" t="s">
        <v>3337</v>
      </c>
      <c r="B279" s="2" t="s">
        <v>3338</v>
      </c>
      <c r="C279" s="2" t="s">
        <v>14</v>
      </c>
      <c r="D279" s="2" t="s">
        <v>15</v>
      </c>
      <c r="E279" s="2" t="s">
        <v>3064</v>
      </c>
      <c r="F279" s="9">
        <v>46104</v>
      </c>
      <c r="G279" s="9">
        <v>46068</v>
      </c>
      <c r="H279" s="8">
        <v>99.99</v>
      </c>
      <c r="I279" s="8">
        <v>27.1</v>
      </c>
      <c r="J279" s="9">
        <v>46107</v>
      </c>
      <c r="K279" s="2" t="s">
        <v>3339</v>
      </c>
      <c r="L279" s="2" t="s">
        <v>17</v>
      </c>
    </row>
    <row r="280" spans="1:12">
      <c r="A280" s="14" t="s">
        <v>3340</v>
      </c>
      <c r="B280" s="2" t="s">
        <v>3341</v>
      </c>
      <c r="C280" s="2" t="s">
        <v>14</v>
      </c>
      <c r="D280" s="2" t="s">
        <v>15</v>
      </c>
      <c r="E280" s="2" t="s">
        <v>3342</v>
      </c>
      <c r="F280" s="9">
        <v>46104</v>
      </c>
      <c r="G280" s="9">
        <v>46068</v>
      </c>
      <c r="H280" s="8">
        <v>109.99</v>
      </c>
      <c r="I280" s="8">
        <v>32.6</v>
      </c>
      <c r="J280" s="9">
        <v>46109</v>
      </c>
      <c r="K280" s="2" t="s">
        <v>3343</v>
      </c>
      <c r="L280" s="2" t="s">
        <v>17</v>
      </c>
    </row>
    <row r="281" spans="1:12">
      <c r="A281" s="14" t="s">
        <v>849</v>
      </c>
      <c r="B281" s="2" t="s">
        <v>850</v>
      </c>
      <c r="C281" s="2" t="s">
        <v>14</v>
      </c>
      <c r="D281" s="2" t="s">
        <v>15</v>
      </c>
      <c r="E281" s="2" t="s">
        <v>16</v>
      </c>
      <c r="F281" s="9">
        <v>46104</v>
      </c>
      <c r="G281" s="9">
        <v>46068</v>
      </c>
      <c r="H281" s="8">
        <v>10.68</v>
      </c>
      <c r="I281" s="8"/>
      <c r="J281" s="9"/>
      <c r="K281" s="2"/>
      <c r="L281" s="2" t="s">
        <v>17</v>
      </c>
    </row>
    <row r="282" spans="1:12">
      <c r="A282" s="14" t="s">
        <v>3344</v>
      </c>
      <c r="B282" s="2" t="s">
        <v>3345</v>
      </c>
      <c r="C282" s="2" t="s">
        <v>14</v>
      </c>
      <c r="D282" s="2" t="s">
        <v>15</v>
      </c>
      <c r="E282" s="2" t="s">
        <v>55</v>
      </c>
      <c r="F282" s="9">
        <v>46104</v>
      </c>
      <c r="G282" s="9">
        <v>46068</v>
      </c>
      <c r="H282" s="8">
        <v>109.99</v>
      </c>
      <c r="I282" s="8">
        <v>24.53</v>
      </c>
      <c r="J282" s="9">
        <v>46109</v>
      </c>
      <c r="K282" s="2" t="s">
        <v>3346</v>
      </c>
      <c r="L282" s="2" t="s">
        <v>17</v>
      </c>
    </row>
    <row r="283" spans="1:12">
      <c r="A283" s="14" t="s">
        <v>3347</v>
      </c>
      <c r="B283" s="2" t="s">
        <v>3348</v>
      </c>
      <c r="C283" s="2" t="s">
        <v>14</v>
      </c>
      <c r="D283" s="2" t="s">
        <v>15</v>
      </c>
      <c r="E283" s="2" t="s">
        <v>55</v>
      </c>
      <c r="F283" s="9">
        <v>46104</v>
      </c>
      <c r="G283" s="9">
        <v>46068</v>
      </c>
      <c r="H283" s="8">
        <v>100</v>
      </c>
      <c r="I283" s="8">
        <v>63.47</v>
      </c>
      <c r="J283" s="9">
        <v>46107</v>
      </c>
      <c r="K283" s="2" t="s">
        <v>3349</v>
      </c>
      <c r="L283" s="2" t="s">
        <v>17</v>
      </c>
    </row>
    <row r="284" spans="1:12">
      <c r="A284" s="14" t="s">
        <v>3350</v>
      </c>
      <c r="B284" s="2" t="s">
        <v>3351</v>
      </c>
      <c r="C284" s="2" t="s">
        <v>14</v>
      </c>
      <c r="D284" s="2" t="s">
        <v>15</v>
      </c>
      <c r="E284" s="2" t="s">
        <v>2851</v>
      </c>
      <c r="F284" s="9">
        <v>46105</v>
      </c>
      <c r="G284" s="9">
        <v>46068</v>
      </c>
      <c r="H284" s="8">
        <v>119.31</v>
      </c>
      <c r="I284" s="8">
        <v>22.9</v>
      </c>
      <c r="J284" s="9">
        <v>46107</v>
      </c>
      <c r="K284" s="2" t="s">
        <v>3352</v>
      </c>
      <c r="L284" s="2" t="s">
        <v>17</v>
      </c>
    </row>
    <row r="285" spans="1:12">
      <c r="A285" s="14" t="s">
        <v>3353</v>
      </c>
      <c r="B285" s="2" t="s">
        <v>3354</v>
      </c>
      <c r="C285" s="2" t="s">
        <v>14</v>
      </c>
      <c r="D285" s="2" t="s">
        <v>15</v>
      </c>
      <c r="E285" s="2" t="s">
        <v>58</v>
      </c>
      <c r="F285" s="9">
        <v>46104</v>
      </c>
      <c r="G285" s="9">
        <v>46068</v>
      </c>
      <c r="H285" s="8">
        <v>91.29</v>
      </c>
      <c r="I285" s="8">
        <v>24.25</v>
      </c>
      <c r="J285" s="9">
        <v>46109</v>
      </c>
      <c r="K285" s="2" t="s">
        <v>3355</v>
      </c>
      <c r="L285" s="2" t="s">
        <v>17</v>
      </c>
    </row>
    <row r="286" spans="1:12">
      <c r="A286" s="14" t="s">
        <v>3356</v>
      </c>
      <c r="B286" s="2" t="s">
        <v>3357</v>
      </c>
      <c r="C286" s="2" t="s">
        <v>14</v>
      </c>
      <c r="D286" s="2" t="s">
        <v>15</v>
      </c>
      <c r="E286" s="2" t="s">
        <v>3204</v>
      </c>
      <c r="F286" s="9">
        <v>46104</v>
      </c>
      <c r="G286" s="9">
        <v>46068</v>
      </c>
      <c r="H286" s="8">
        <v>119.99</v>
      </c>
      <c r="I286" s="8">
        <v>35.42</v>
      </c>
      <c r="J286" s="9">
        <v>46109</v>
      </c>
      <c r="K286" s="2" t="s">
        <v>3358</v>
      </c>
      <c r="L286" s="2" t="s">
        <v>17</v>
      </c>
    </row>
    <row r="287" spans="1:12">
      <c r="A287" s="14" t="s">
        <v>3359</v>
      </c>
      <c r="B287" s="2" t="s">
        <v>3360</v>
      </c>
      <c r="C287" s="2" t="s">
        <v>14</v>
      </c>
      <c r="D287" s="2" t="s">
        <v>15</v>
      </c>
      <c r="E287" s="2" t="s">
        <v>2788</v>
      </c>
      <c r="F287" s="9">
        <v>46104</v>
      </c>
      <c r="G287" s="9">
        <v>46068</v>
      </c>
      <c r="H287" s="8">
        <v>109.99</v>
      </c>
      <c r="I287" s="8">
        <v>30.14</v>
      </c>
      <c r="J287" s="9">
        <v>46109</v>
      </c>
      <c r="K287" s="2" t="s">
        <v>3361</v>
      </c>
      <c r="L287" s="2" t="s">
        <v>17</v>
      </c>
    </row>
    <row r="288" spans="1:12">
      <c r="A288" s="14" t="s">
        <v>3362</v>
      </c>
      <c r="B288" s="2" t="s">
        <v>3363</v>
      </c>
      <c r="C288" s="2" t="s">
        <v>14</v>
      </c>
      <c r="D288" s="2" t="s">
        <v>15</v>
      </c>
      <c r="E288" s="2" t="s">
        <v>3064</v>
      </c>
      <c r="F288" s="9">
        <v>46101</v>
      </c>
      <c r="G288" s="9">
        <v>46068</v>
      </c>
      <c r="H288" s="8">
        <v>129.99</v>
      </c>
      <c r="I288" s="8">
        <v>34.81</v>
      </c>
      <c r="J288" s="9">
        <v>46106</v>
      </c>
      <c r="K288" s="2" t="s">
        <v>3364</v>
      </c>
      <c r="L288" s="2" t="s">
        <v>17</v>
      </c>
    </row>
    <row r="289" spans="1:12">
      <c r="A289" s="14" t="s">
        <v>3365</v>
      </c>
      <c r="B289" s="2" t="s">
        <v>3366</v>
      </c>
      <c r="C289" s="2" t="s">
        <v>14</v>
      </c>
      <c r="D289" s="2" t="s">
        <v>15</v>
      </c>
      <c r="E289" s="2" t="s">
        <v>3204</v>
      </c>
      <c r="F289" s="9">
        <v>46101</v>
      </c>
      <c r="G289" s="9">
        <v>46068</v>
      </c>
      <c r="H289" s="8">
        <v>150</v>
      </c>
      <c r="I289" s="8">
        <v>98.49</v>
      </c>
      <c r="J289" s="9">
        <v>46105</v>
      </c>
      <c r="K289" s="2" t="s">
        <v>3367</v>
      </c>
      <c r="L289" s="2" t="s">
        <v>17</v>
      </c>
    </row>
    <row r="290" spans="1:12">
      <c r="A290" s="14" t="s">
        <v>3368</v>
      </c>
      <c r="B290" s="2" t="s">
        <v>3369</v>
      </c>
      <c r="C290" s="2" t="s">
        <v>14</v>
      </c>
      <c r="D290" s="2" t="s">
        <v>15</v>
      </c>
      <c r="E290" s="2" t="s">
        <v>2574</v>
      </c>
      <c r="F290" s="9">
        <v>46101</v>
      </c>
      <c r="G290" s="9">
        <v>46068</v>
      </c>
      <c r="H290" s="8">
        <v>112.33</v>
      </c>
      <c r="I290" s="8">
        <v>29.36</v>
      </c>
      <c r="J290" s="9">
        <v>46105</v>
      </c>
      <c r="K290" s="2" t="s">
        <v>3370</v>
      </c>
      <c r="L290" s="2" t="s">
        <v>17</v>
      </c>
    </row>
    <row r="291" spans="1:12">
      <c r="A291" s="14" t="s">
        <v>3371</v>
      </c>
      <c r="B291" s="2" t="s">
        <v>3372</v>
      </c>
      <c r="C291" s="2" t="s">
        <v>14</v>
      </c>
      <c r="D291" s="2" t="s">
        <v>15</v>
      </c>
      <c r="E291" s="2" t="s">
        <v>55</v>
      </c>
      <c r="F291" s="9">
        <v>46101</v>
      </c>
      <c r="G291" s="9">
        <v>46068</v>
      </c>
      <c r="H291" s="8">
        <v>119.99</v>
      </c>
      <c r="I291" s="8">
        <v>30.38</v>
      </c>
      <c r="J291" s="9">
        <v>46104</v>
      </c>
      <c r="K291" s="2" t="s">
        <v>3373</v>
      </c>
      <c r="L291" s="2" t="s">
        <v>17</v>
      </c>
    </row>
    <row r="292" spans="1:12">
      <c r="A292" s="14" t="s">
        <v>3374</v>
      </c>
      <c r="B292" s="2" t="s">
        <v>3375</v>
      </c>
      <c r="C292" s="2" t="s">
        <v>14</v>
      </c>
      <c r="D292" s="2" t="s">
        <v>15</v>
      </c>
      <c r="E292" s="2" t="s">
        <v>2788</v>
      </c>
      <c r="F292" s="9">
        <v>46104</v>
      </c>
      <c r="G292" s="9">
        <v>46068</v>
      </c>
      <c r="H292" s="8">
        <v>139.99</v>
      </c>
      <c r="I292" s="8">
        <v>54.2</v>
      </c>
      <c r="J292" s="9">
        <v>46108</v>
      </c>
      <c r="K292" s="2" t="s">
        <v>3376</v>
      </c>
      <c r="L292" s="2" t="s">
        <v>17</v>
      </c>
    </row>
    <row r="293" spans="1:12">
      <c r="A293" s="14" t="s">
        <v>3377</v>
      </c>
      <c r="B293" s="2" t="s">
        <v>3378</v>
      </c>
      <c r="C293" s="2" t="s">
        <v>14</v>
      </c>
      <c r="D293" s="2" t="s">
        <v>15</v>
      </c>
      <c r="E293" s="2" t="s">
        <v>2851</v>
      </c>
      <c r="F293" s="9">
        <v>46104</v>
      </c>
      <c r="G293" s="9">
        <v>46068</v>
      </c>
      <c r="H293" s="8">
        <v>109.99</v>
      </c>
      <c r="I293" s="8">
        <v>28.2</v>
      </c>
      <c r="J293" s="9">
        <v>46108</v>
      </c>
      <c r="K293" s="2" t="s">
        <v>3379</v>
      </c>
      <c r="L293" s="2" t="s">
        <v>17</v>
      </c>
    </row>
    <row r="294" spans="1:12">
      <c r="A294" s="14" t="s">
        <v>3380</v>
      </c>
      <c r="B294" s="2" t="s">
        <v>3381</v>
      </c>
      <c r="C294" s="2" t="s">
        <v>14</v>
      </c>
      <c r="D294" s="2" t="s">
        <v>15</v>
      </c>
      <c r="E294" s="2" t="s">
        <v>55</v>
      </c>
      <c r="F294" s="9">
        <v>46105</v>
      </c>
      <c r="G294" s="9">
        <v>46068</v>
      </c>
      <c r="H294" s="8">
        <v>119.99</v>
      </c>
      <c r="I294" s="8">
        <v>32.79</v>
      </c>
      <c r="J294" s="9">
        <v>46109</v>
      </c>
      <c r="K294" s="2" t="s">
        <v>3382</v>
      </c>
      <c r="L294" s="2" t="s">
        <v>17</v>
      </c>
    </row>
    <row r="295" spans="1:12">
      <c r="A295" s="14" t="s">
        <v>3383</v>
      </c>
      <c r="B295" s="2" t="s">
        <v>3384</v>
      </c>
      <c r="C295" s="2" t="s">
        <v>14</v>
      </c>
      <c r="D295" s="2" t="s">
        <v>15</v>
      </c>
      <c r="E295" s="2" t="s">
        <v>2574</v>
      </c>
      <c r="F295" s="9">
        <v>46101</v>
      </c>
      <c r="G295" s="9">
        <v>46068</v>
      </c>
      <c r="H295" s="8">
        <v>99.99</v>
      </c>
      <c r="I295" s="8">
        <v>17.52</v>
      </c>
      <c r="J295" s="9">
        <v>46104</v>
      </c>
      <c r="K295" s="2" t="s">
        <v>3385</v>
      </c>
      <c r="L295" s="2" t="s">
        <v>17</v>
      </c>
    </row>
    <row r="296" spans="1:12">
      <c r="A296" s="14" t="s">
        <v>3386</v>
      </c>
      <c r="B296" s="2" t="s">
        <v>3387</v>
      </c>
      <c r="C296" s="2" t="s">
        <v>14</v>
      </c>
      <c r="D296" s="2" t="s">
        <v>15</v>
      </c>
      <c r="E296" s="2" t="s">
        <v>16</v>
      </c>
      <c r="F296" s="9">
        <v>46101</v>
      </c>
      <c r="G296" s="9">
        <v>46068</v>
      </c>
      <c r="H296" s="8">
        <v>4.8499999999999996</v>
      </c>
      <c r="I296" s="8"/>
      <c r="J296" s="9"/>
      <c r="K296" s="2"/>
      <c r="L296" s="2" t="s">
        <v>17</v>
      </c>
    </row>
    <row r="297" spans="1:12">
      <c r="A297" s="14" t="s">
        <v>3388</v>
      </c>
      <c r="B297" s="2" t="s">
        <v>3389</v>
      </c>
      <c r="C297" s="2" t="s">
        <v>14</v>
      </c>
      <c r="D297" s="2" t="s">
        <v>15</v>
      </c>
      <c r="E297" s="2" t="s">
        <v>55</v>
      </c>
      <c r="F297" s="9">
        <v>46101</v>
      </c>
      <c r="G297" s="9">
        <v>46068</v>
      </c>
      <c r="H297" s="8">
        <v>100</v>
      </c>
      <c r="I297" s="8">
        <v>35</v>
      </c>
      <c r="J297" s="9">
        <v>46105</v>
      </c>
      <c r="K297" s="2" t="s">
        <v>3390</v>
      </c>
      <c r="L297" s="2" t="s">
        <v>17</v>
      </c>
    </row>
    <row r="298" spans="1:12">
      <c r="A298" s="14" t="s">
        <v>3391</v>
      </c>
      <c r="B298" s="2" t="s">
        <v>3392</v>
      </c>
      <c r="C298" s="2" t="s">
        <v>14</v>
      </c>
      <c r="D298" s="2" t="s">
        <v>15</v>
      </c>
      <c r="E298" s="2" t="s">
        <v>55</v>
      </c>
      <c r="F298" s="9">
        <v>46106</v>
      </c>
      <c r="G298" s="9">
        <v>46068</v>
      </c>
      <c r="H298" s="8">
        <v>109.99</v>
      </c>
      <c r="I298" s="8">
        <v>31.58</v>
      </c>
      <c r="J298" s="9">
        <v>46109</v>
      </c>
      <c r="K298" s="2" t="s">
        <v>3393</v>
      </c>
      <c r="L298" s="2" t="s">
        <v>17</v>
      </c>
    </row>
    <row r="299" spans="1:12">
      <c r="A299" s="14" t="s">
        <v>3394</v>
      </c>
      <c r="B299" s="2" t="s">
        <v>3395</v>
      </c>
      <c r="C299" s="2" t="s">
        <v>14</v>
      </c>
      <c r="D299" s="2" t="s">
        <v>15</v>
      </c>
      <c r="E299" s="2" t="s">
        <v>2742</v>
      </c>
      <c r="F299" s="9">
        <v>46101</v>
      </c>
      <c r="G299" s="9">
        <v>46068</v>
      </c>
      <c r="H299" s="8">
        <v>103.34</v>
      </c>
      <c r="I299" s="8">
        <v>18.47</v>
      </c>
      <c r="J299" s="9">
        <v>46104</v>
      </c>
      <c r="K299" s="2" t="s">
        <v>3396</v>
      </c>
      <c r="L299" s="2" t="s">
        <v>17</v>
      </c>
    </row>
    <row r="300" spans="1:12">
      <c r="A300" s="14" t="s">
        <v>3397</v>
      </c>
      <c r="B300" s="2" t="s">
        <v>3398</v>
      </c>
      <c r="C300" s="2" t="s">
        <v>14</v>
      </c>
      <c r="D300" s="2" t="s">
        <v>15</v>
      </c>
      <c r="E300" s="2" t="s">
        <v>2851</v>
      </c>
      <c r="F300" s="9">
        <v>46106</v>
      </c>
      <c r="G300" s="9">
        <v>46068</v>
      </c>
      <c r="H300" s="8">
        <v>111.31</v>
      </c>
      <c r="I300" s="8">
        <v>22.9</v>
      </c>
      <c r="J300" s="9">
        <v>46107</v>
      </c>
      <c r="K300" s="2" t="s">
        <v>3352</v>
      </c>
      <c r="L300" s="2" t="s">
        <v>17</v>
      </c>
    </row>
    <row r="301" spans="1:12">
      <c r="A301" s="14" t="s">
        <v>3399</v>
      </c>
      <c r="B301" s="2" t="s">
        <v>3400</v>
      </c>
      <c r="C301" s="2" t="s">
        <v>14</v>
      </c>
      <c r="D301" s="2" t="s">
        <v>15</v>
      </c>
      <c r="E301" s="2" t="s">
        <v>3064</v>
      </c>
      <c r="F301" s="9">
        <v>46107</v>
      </c>
      <c r="G301" s="9">
        <v>46068</v>
      </c>
      <c r="H301" s="8">
        <v>99.99</v>
      </c>
      <c r="I301" s="8">
        <v>35.43</v>
      </c>
      <c r="J301" s="9">
        <v>46112</v>
      </c>
      <c r="K301" s="2" t="s">
        <v>3401</v>
      </c>
      <c r="L301" s="2" t="s">
        <v>17</v>
      </c>
    </row>
    <row r="302" spans="1:12">
      <c r="A302" s="14" t="s">
        <v>2917</v>
      </c>
      <c r="B302" s="2" t="s">
        <v>3402</v>
      </c>
      <c r="C302" s="2" t="s">
        <v>14</v>
      </c>
      <c r="D302" s="2" t="s">
        <v>15</v>
      </c>
      <c r="E302" s="2" t="s">
        <v>2851</v>
      </c>
      <c r="F302" s="9">
        <v>46105</v>
      </c>
      <c r="G302" s="9">
        <v>46068</v>
      </c>
      <c r="H302" s="8">
        <v>49.99</v>
      </c>
      <c r="I302" s="8">
        <v>10.32</v>
      </c>
      <c r="J302" s="9">
        <v>46110</v>
      </c>
      <c r="K302" s="2" t="s">
        <v>3403</v>
      </c>
      <c r="L302" s="2" t="s">
        <v>17</v>
      </c>
    </row>
    <row r="303" spans="1:12">
      <c r="A303" s="14" t="s">
        <v>3404</v>
      </c>
      <c r="B303" s="2" t="s">
        <v>3405</v>
      </c>
      <c r="C303" s="2" t="s">
        <v>14</v>
      </c>
      <c r="D303" s="2" t="s">
        <v>15</v>
      </c>
      <c r="E303" s="2" t="s">
        <v>2703</v>
      </c>
      <c r="F303" s="9">
        <v>46105</v>
      </c>
      <c r="G303" s="9">
        <v>46068</v>
      </c>
      <c r="H303" s="8">
        <v>110.94</v>
      </c>
      <c r="I303" s="8">
        <v>19.47</v>
      </c>
      <c r="J303" s="9">
        <v>46110</v>
      </c>
      <c r="K303" s="2" t="s">
        <v>3406</v>
      </c>
      <c r="L303" s="2" t="s">
        <v>17</v>
      </c>
    </row>
    <row r="304" spans="1:12">
      <c r="A304" s="14" t="s">
        <v>3407</v>
      </c>
      <c r="B304" s="2" t="s">
        <v>3408</v>
      </c>
      <c r="C304" s="2" t="s">
        <v>14</v>
      </c>
      <c r="D304" s="2" t="s">
        <v>15</v>
      </c>
      <c r="F304" s="9">
        <v>46170</v>
      </c>
      <c r="G304" s="9">
        <v>46068</v>
      </c>
      <c r="H304" s="8">
        <v>109.99</v>
      </c>
      <c r="I304" s="8"/>
      <c r="J304" s="9"/>
      <c r="K304" s="2"/>
      <c r="L304" s="2" t="s">
        <v>17</v>
      </c>
    </row>
    <row r="305" spans="1:12">
      <c r="A305" s="14" t="s">
        <v>3409</v>
      </c>
      <c r="B305" s="2" t="s">
        <v>3410</v>
      </c>
      <c r="C305" s="2" t="s">
        <v>14</v>
      </c>
      <c r="D305" s="2" t="s">
        <v>15</v>
      </c>
      <c r="E305" s="2" t="s">
        <v>2703</v>
      </c>
      <c r="F305" s="9">
        <v>46104</v>
      </c>
      <c r="G305" s="9">
        <v>46068</v>
      </c>
      <c r="H305" s="8">
        <v>101.69</v>
      </c>
      <c r="I305" s="8">
        <v>40.380000000000003</v>
      </c>
      <c r="J305" s="9">
        <v>46108</v>
      </c>
      <c r="K305" s="2" t="s">
        <v>3411</v>
      </c>
      <c r="L305" s="2" t="s">
        <v>17</v>
      </c>
    </row>
    <row r="306" spans="1:12">
      <c r="A306" s="14" t="s">
        <v>3412</v>
      </c>
      <c r="B306" s="2" t="s">
        <v>3413</v>
      </c>
      <c r="C306" s="2" t="s">
        <v>14</v>
      </c>
      <c r="D306" s="2" t="s">
        <v>15</v>
      </c>
      <c r="E306" s="2" t="s">
        <v>55</v>
      </c>
      <c r="F306" s="9">
        <v>46105</v>
      </c>
      <c r="G306" s="9">
        <v>46068</v>
      </c>
      <c r="H306" s="8">
        <v>130</v>
      </c>
      <c r="I306" s="8">
        <v>42.28</v>
      </c>
      <c r="J306" s="9">
        <v>46110</v>
      </c>
      <c r="K306" s="2" t="s">
        <v>3414</v>
      </c>
      <c r="L306" s="2" t="s">
        <v>17</v>
      </c>
    </row>
    <row r="307" spans="1:12">
      <c r="A307" s="14" t="s">
        <v>3415</v>
      </c>
      <c r="B307" s="2" t="s">
        <v>3416</v>
      </c>
      <c r="C307" s="2" t="s">
        <v>14</v>
      </c>
      <c r="D307" s="2" t="s">
        <v>15</v>
      </c>
      <c r="E307" s="2" t="s">
        <v>2574</v>
      </c>
      <c r="F307" s="9">
        <v>46101</v>
      </c>
      <c r="G307" s="9">
        <v>46068</v>
      </c>
      <c r="H307" s="8">
        <v>140</v>
      </c>
      <c r="I307" s="8">
        <v>47.27</v>
      </c>
      <c r="J307" s="9">
        <v>46105</v>
      </c>
      <c r="K307" s="2" t="s">
        <v>3417</v>
      </c>
      <c r="L307" s="2" t="s">
        <v>17</v>
      </c>
    </row>
    <row r="308" spans="1:12">
      <c r="A308" s="14" t="s">
        <v>3418</v>
      </c>
      <c r="B308" s="2" t="s">
        <v>3419</v>
      </c>
      <c r="C308" s="2" t="s">
        <v>14</v>
      </c>
      <c r="D308" s="2" t="s">
        <v>15</v>
      </c>
      <c r="E308" s="2" t="s">
        <v>2851</v>
      </c>
      <c r="F308" s="9">
        <v>46107</v>
      </c>
      <c r="G308" s="9">
        <v>46068</v>
      </c>
      <c r="H308" s="8">
        <v>109.99</v>
      </c>
      <c r="I308" s="8">
        <v>37.5</v>
      </c>
      <c r="J308" s="9">
        <v>46109</v>
      </c>
      <c r="K308" s="2" t="s">
        <v>3420</v>
      </c>
      <c r="L308" s="2" t="s">
        <v>17</v>
      </c>
    </row>
    <row r="309" spans="1:12">
      <c r="A309" s="14" t="s">
        <v>3421</v>
      </c>
      <c r="B309" s="2" t="s">
        <v>3422</v>
      </c>
      <c r="C309" s="2" t="s">
        <v>14</v>
      </c>
      <c r="D309" s="2" t="s">
        <v>15</v>
      </c>
      <c r="E309" s="2" t="s">
        <v>3204</v>
      </c>
      <c r="F309" s="9">
        <v>46101</v>
      </c>
      <c r="G309" s="9">
        <v>46068</v>
      </c>
      <c r="H309" s="8">
        <v>99.99</v>
      </c>
      <c r="I309" s="8">
        <v>10.31</v>
      </c>
      <c r="J309" s="9">
        <v>46105</v>
      </c>
      <c r="K309" s="2" t="s">
        <v>3423</v>
      </c>
      <c r="L309" s="2" t="s">
        <v>17</v>
      </c>
    </row>
    <row r="310" spans="1:12">
      <c r="A310" s="14" t="s">
        <v>3424</v>
      </c>
      <c r="B310" s="2" t="s">
        <v>3425</v>
      </c>
      <c r="C310" s="2" t="s">
        <v>14</v>
      </c>
      <c r="D310" s="2" t="s">
        <v>15</v>
      </c>
      <c r="E310" s="2" t="s">
        <v>2633</v>
      </c>
      <c r="F310" s="9">
        <v>46106</v>
      </c>
      <c r="G310" s="9">
        <v>46068</v>
      </c>
      <c r="H310" s="8">
        <v>94.99</v>
      </c>
      <c r="I310" s="8">
        <v>42.42</v>
      </c>
      <c r="J310" s="9">
        <v>46111</v>
      </c>
      <c r="K310" s="2" t="s">
        <v>3426</v>
      </c>
      <c r="L310" s="2" t="s">
        <v>17</v>
      </c>
    </row>
    <row r="311" spans="1:12">
      <c r="A311" s="14" t="s">
        <v>3427</v>
      </c>
      <c r="B311" s="2" t="s">
        <v>3428</v>
      </c>
      <c r="C311" s="2" t="s">
        <v>14</v>
      </c>
      <c r="D311" s="2" t="s">
        <v>15</v>
      </c>
      <c r="E311" s="2" t="s">
        <v>2703</v>
      </c>
      <c r="F311" s="9">
        <v>46101</v>
      </c>
      <c r="G311" s="9">
        <v>46068</v>
      </c>
      <c r="H311" s="8">
        <v>109.99</v>
      </c>
      <c r="I311" s="8">
        <v>14.3</v>
      </c>
      <c r="J311" s="9">
        <v>46106</v>
      </c>
      <c r="K311" s="2" t="s">
        <v>3429</v>
      </c>
      <c r="L311" s="2" t="s">
        <v>17</v>
      </c>
    </row>
    <row r="312" spans="1:12">
      <c r="A312" s="14" t="s">
        <v>3430</v>
      </c>
      <c r="B312" s="2" t="s">
        <v>3431</v>
      </c>
      <c r="C312" s="2" t="s">
        <v>14</v>
      </c>
      <c r="D312" s="2" t="s">
        <v>15</v>
      </c>
      <c r="E312" s="2" t="s">
        <v>2633</v>
      </c>
      <c r="F312" s="9">
        <v>46104</v>
      </c>
      <c r="G312" s="9">
        <v>46068</v>
      </c>
      <c r="H312" s="8">
        <v>120</v>
      </c>
      <c r="I312" s="8">
        <v>30.47</v>
      </c>
      <c r="J312" s="9">
        <v>46108</v>
      </c>
      <c r="K312" s="2" t="s">
        <v>3432</v>
      </c>
      <c r="L312" s="2" t="s">
        <v>17</v>
      </c>
    </row>
    <row r="313" spans="1:12">
      <c r="A313" s="14" t="s">
        <v>3433</v>
      </c>
      <c r="B313" s="2" t="s">
        <v>3434</v>
      </c>
      <c r="C313" s="2" t="s">
        <v>14</v>
      </c>
      <c r="D313" s="2" t="s">
        <v>15</v>
      </c>
      <c r="E313" s="2" t="s">
        <v>2633</v>
      </c>
      <c r="F313" s="9">
        <v>46101</v>
      </c>
      <c r="G313" s="9">
        <v>46068</v>
      </c>
      <c r="H313" s="8">
        <v>103.18</v>
      </c>
      <c r="I313" s="8">
        <v>32.85</v>
      </c>
      <c r="J313" s="9">
        <v>46106</v>
      </c>
      <c r="K313" s="2" t="s">
        <v>3435</v>
      </c>
      <c r="L313" s="2" t="s">
        <v>17</v>
      </c>
    </row>
    <row r="314" spans="1:12">
      <c r="A314" s="14" t="s">
        <v>3436</v>
      </c>
      <c r="B314" s="2" t="s">
        <v>3437</v>
      </c>
      <c r="C314" s="2" t="s">
        <v>14</v>
      </c>
      <c r="D314" s="2" t="s">
        <v>15</v>
      </c>
      <c r="E314" s="2" t="s">
        <v>55</v>
      </c>
      <c r="F314" s="9">
        <v>46105</v>
      </c>
      <c r="G314" s="9">
        <v>46068</v>
      </c>
      <c r="H314" s="8">
        <v>49.99</v>
      </c>
      <c r="I314" s="8">
        <v>13.6</v>
      </c>
      <c r="J314" s="9">
        <v>46110</v>
      </c>
      <c r="K314" s="2" t="s">
        <v>3438</v>
      </c>
      <c r="L314" s="2" t="s">
        <v>17</v>
      </c>
    </row>
    <row r="315" spans="1:12">
      <c r="A315" s="14" t="s">
        <v>3439</v>
      </c>
      <c r="B315" s="2" t="s">
        <v>3440</v>
      </c>
      <c r="C315" s="2" t="s">
        <v>14</v>
      </c>
      <c r="D315" s="2" t="s">
        <v>15</v>
      </c>
      <c r="E315" s="2" t="s">
        <v>55</v>
      </c>
      <c r="F315" s="9">
        <v>46101</v>
      </c>
      <c r="G315" s="9">
        <v>46068</v>
      </c>
      <c r="H315" s="8">
        <v>112.44</v>
      </c>
      <c r="I315" s="8">
        <v>12.8</v>
      </c>
      <c r="J315" s="9">
        <v>46105</v>
      </c>
      <c r="K315" s="2" t="s">
        <v>3441</v>
      </c>
      <c r="L315" s="2" t="s">
        <v>17</v>
      </c>
    </row>
    <row r="316" spans="1:12">
      <c r="A316" s="14" t="s">
        <v>3442</v>
      </c>
      <c r="B316" s="2" t="s">
        <v>3443</v>
      </c>
      <c r="C316" s="2" t="s">
        <v>14</v>
      </c>
      <c r="D316" s="2" t="s">
        <v>15</v>
      </c>
      <c r="E316" s="2" t="s">
        <v>16</v>
      </c>
      <c r="F316" s="9">
        <v>46105</v>
      </c>
      <c r="G316" s="9">
        <v>46068</v>
      </c>
      <c r="H316" s="8">
        <v>7.11</v>
      </c>
      <c r="I316" s="8"/>
      <c r="J316" s="9"/>
      <c r="K316" s="2"/>
      <c r="L316" s="2" t="s">
        <v>17</v>
      </c>
    </row>
    <row r="317" spans="1:12">
      <c r="A317" s="14" t="s">
        <v>3444</v>
      </c>
      <c r="B317" s="2" t="s">
        <v>3445</v>
      </c>
      <c r="C317" s="2" t="s">
        <v>14</v>
      </c>
      <c r="D317" s="2" t="s">
        <v>15</v>
      </c>
      <c r="E317" s="2" t="s">
        <v>2574</v>
      </c>
      <c r="F317" s="9">
        <v>46101</v>
      </c>
      <c r="G317" s="9">
        <v>46068</v>
      </c>
      <c r="H317" s="8">
        <v>109.99</v>
      </c>
      <c r="I317" s="8">
        <v>36.270000000000003</v>
      </c>
      <c r="J317" s="9">
        <v>46105</v>
      </c>
      <c r="K317" s="2" t="s">
        <v>3446</v>
      </c>
      <c r="L317" s="2" t="s">
        <v>17</v>
      </c>
    </row>
    <row r="318" spans="1:12">
      <c r="A318" s="14" t="s">
        <v>3447</v>
      </c>
      <c r="B318" s="2" t="s">
        <v>3448</v>
      </c>
      <c r="C318" s="2" t="s">
        <v>14</v>
      </c>
      <c r="D318" s="2" t="s">
        <v>15</v>
      </c>
      <c r="E318" s="2" t="s">
        <v>3064</v>
      </c>
      <c r="F318" s="9">
        <v>46101</v>
      </c>
      <c r="G318" s="9">
        <v>46068</v>
      </c>
      <c r="H318" s="8">
        <v>112.19</v>
      </c>
      <c r="I318" s="8">
        <v>36.6</v>
      </c>
      <c r="J318" s="9">
        <v>46106</v>
      </c>
      <c r="K318" s="2" t="s">
        <v>3449</v>
      </c>
      <c r="L318" s="2" t="s">
        <v>17</v>
      </c>
    </row>
    <row r="319" spans="1:12">
      <c r="A319" s="14" t="s">
        <v>3450</v>
      </c>
      <c r="B319" s="2" t="s">
        <v>3451</v>
      </c>
      <c r="C319" s="2" t="s">
        <v>14</v>
      </c>
      <c r="D319" s="2" t="s">
        <v>15</v>
      </c>
      <c r="E319" s="2" t="s">
        <v>2703</v>
      </c>
      <c r="F319" s="9">
        <v>46121</v>
      </c>
      <c r="G319" s="9">
        <v>46068</v>
      </c>
      <c r="H319" s="8">
        <v>112.74</v>
      </c>
      <c r="I319" s="8">
        <v>62.92</v>
      </c>
      <c r="J319" s="9">
        <v>46125</v>
      </c>
      <c r="K319" s="2" t="s">
        <v>3452</v>
      </c>
      <c r="L319" s="2" t="s">
        <v>17</v>
      </c>
    </row>
    <row r="320" spans="1:12">
      <c r="A320" s="14" t="s">
        <v>3453</v>
      </c>
      <c r="B320" s="2" t="s">
        <v>3454</v>
      </c>
      <c r="C320" s="2" t="s">
        <v>14</v>
      </c>
      <c r="D320" s="2" t="s">
        <v>15</v>
      </c>
      <c r="E320" s="2" t="s">
        <v>16</v>
      </c>
      <c r="F320" s="9">
        <v>46105</v>
      </c>
      <c r="G320" s="9">
        <v>46068</v>
      </c>
      <c r="H320" s="8">
        <v>3.26</v>
      </c>
      <c r="I320" s="8"/>
      <c r="J320" s="9"/>
      <c r="K320" s="2"/>
      <c r="L320" s="2" t="s">
        <v>17</v>
      </c>
    </row>
    <row r="321" spans="1:12">
      <c r="A321" s="14" t="s">
        <v>3455</v>
      </c>
      <c r="B321" s="2" t="s">
        <v>3456</v>
      </c>
      <c r="C321" s="2" t="s">
        <v>14</v>
      </c>
      <c r="D321" s="2" t="s">
        <v>15</v>
      </c>
      <c r="E321" s="2" t="s">
        <v>55</v>
      </c>
      <c r="F321" s="9">
        <v>46101</v>
      </c>
      <c r="G321" s="9">
        <v>46068</v>
      </c>
      <c r="H321" s="8">
        <v>120</v>
      </c>
      <c r="I321" s="8">
        <v>39.93</v>
      </c>
      <c r="J321" s="9">
        <v>46105</v>
      </c>
      <c r="K321" s="2" t="s">
        <v>3457</v>
      </c>
      <c r="L321" s="2" t="s">
        <v>17</v>
      </c>
    </row>
    <row r="322" spans="1:12">
      <c r="A322" s="14" t="s">
        <v>3458</v>
      </c>
      <c r="B322" s="2" t="s">
        <v>3459</v>
      </c>
      <c r="C322" s="2" t="s">
        <v>14</v>
      </c>
      <c r="D322" s="2" t="s">
        <v>15</v>
      </c>
      <c r="E322" s="2" t="s">
        <v>58</v>
      </c>
      <c r="F322" s="9">
        <v>46104</v>
      </c>
      <c r="G322" s="9">
        <v>46068</v>
      </c>
      <c r="H322" s="8">
        <v>110</v>
      </c>
      <c r="I322" s="8">
        <v>55.17</v>
      </c>
      <c r="J322" s="9">
        <v>46109</v>
      </c>
      <c r="K322" s="2" t="s">
        <v>3460</v>
      </c>
      <c r="L322" s="2" t="s">
        <v>17</v>
      </c>
    </row>
    <row r="323" spans="1:12">
      <c r="A323" s="14" t="s">
        <v>3461</v>
      </c>
      <c r="B323" s="2" t="s">
        <v>3462</v>
      </c>
      <c r="C323" s="2" t="s">
        <v>14</v>
      </c>
      <c r="D323" s="2" t="s">
        <v>15</v>
      </c>
      <c r="E323" s="2" t="s">
        <v>55</v>
      </c>
      <c r="F323" s="9">
        <v>46107</v>
      </c>
      <c r="G323" s="9">
        <v>46068</v>
      </c>
      <c r="H323" s="8">
        <v>99.99</v>
      </c>
      <c r="I323" s="8">
        <v>32.39</v>
      </c>
      <c r="J323" s="9">
        <v>46111</v>
      </c>
      <c r="K323" s="2" t="s">
        <v>3463</v>
      </c>
      <c r="L323" s="2" t="s">
        <v>17</v>
      </c>
    </row>
    <row r="324" spans="1:12">
      <c r="A324" s="14" t="s">
        <v>3464</v>
      </c>
      <c r="B324" s="2" t="s">
        <v>3465</v>
      </c>
      <c r="C324" s="2" t="s">
        <v>14</v>
      </c>
      <c r="D324" s="2" t="s">
        <v>15</v>
      </c>
      <c r="E324" s="2" t="s">
        <v>2703</v>
      </c>
      <c r="F324" s="9">
        <v>46101</v>
      </c>
      <c r="G324" s="9">
        <v>46068</v>
      </c>
      <c r="H324" s="8">
        <v>129.99</v>
      </c>
      <c r="I324" s="8">
        <v>48.8</v>
      </c>
      <c r="J324" s="9">
        <v>46106</v>
      </c>
      <c r="K324" s="2" t="s">
        <v>3466</v>
      </c>
      <c r="L324" s="2" t="s">
        <v>17</v>
      </c>
    </row>
    <row r="325" spans="1:12">
      <c r="A325" s="14" t="s">
        <v>3467</v>
      </c>
      <c r="B325" s="2" t="s">
        <v>3468</v>
      </c>
      <c r="C325" s="2" t="s">
        <v>14</v>
      </c>
      <c r="D325" s="2" t="s">
        <v>15</v>
      </c>
      <c r="E325" s="2" t="s">
        <v>55</v>
      </c>
      <c r="F325" s="9">
        <v>46107</v>
      </c>
      <c r="G325" s="9">
        <v>46068</v>
      </c>
      <c r="H325" s="8">
        <v>109.99</v>
      </c>
      <c r="I325" s="8">
        <v>38.450000000000003</v>
      </c>
      <c r="J325" s="9">
        <v>46111</v>
      </c>
      <c r="K325" s="2" t="s">
        <v>3469</v>
      </c>
      <c r="L325" s="2" t="s">
        <v>17</v>
      </c>
    </row>
    <row r="326" spans="1:12" s="4" customFormat="1">
      <c r="A326" s="25" t="s">
        <v>3470</v>
      </c>
      <c r="B326" s="5" t="s">
        <v>3471</v>
      </c>
      <c r="C326" s="5" t="s">
        <v>2667</v>
      </c>
      <c r="D326" s="5" t="s">
        <v>15</v>
      </c>
      <c r="E326" s="5" t="s">
        <v>58</v>
      </c>
      <c r="F326" s="18">
        <v>46100</v>
      </c>
      <c r="G326" s="18">
        <v>46011</v>
      </c>
      <c r="H326" s="19">
        <v>232.28</v>
      </c>
      <c r="I326" s="19">
        <v>34.15</v>
      </c>
      <c r="J326" s="18">
        <v>46105</v>
      </c>
      <c r="K326" s="5" t="s">
        <v>3472</v>
      </c>
      <c r="L326" s="2" t="s">
        <v>17</v>
      </c>
    </row>
    <row r="327" spans="1:12">
      <c r="A327" s="14" t="s">
        <v>3473</v>
      </c>
      <c r="B327" s="2" t="s">
        <v>3474</v>
      </c>
      <c r="C327" s="2" t="s">
        <v>2667</v>
      </c>
      <c r="D327" s="2" t="s">
        <v>15</v>
      </c>
      <c r="E327" s="2" t="s">
        <v>58</v>
      </c>
      <c r="F327" s="9">
        <v>46101</v>
      </c>
      <c r="G327" s="9">
        <v>46011</v>
      </c>
      <c r="H327" s="8">
        <v>164</v>
      </c>
      <c r="I327" s="8">
        <v>79.540000000000006</v>
      </c>
      <c r="J327" s="9">
        <v>46107</v>
      </c>
      <c r="K327" s="2" t="s">
        <v>3475</v>
      </c>
      <c r="L327" s="2" t="s">
        <v>17</v>
      </c>
    </row>
    <row r="328" spans="1:12">
      <c r="A328" s="14" t="s">
        <v>3476</v>
      </c>
      <c r="B328" s="2" t="s">
        <v>3477</v>
      </c>
      <c r="C328" s="2" t="s">
        <v>2667</v>
      </c>
      <c r="D328" s="2" t="s">
        <v>15</v>
      </c>
      <c r="F328" s="9">
        <v>46103</v>
      </c>
      <c r="G328" s="9">
        <v>46011</v>
      </c>
      <c r="H328" s="8">
        <v>152.97</v>
      </c>
      <c r="I328" s="8"/>
      <c r="J328" s="9"/>
      <c r="K328" s="2"/>
      <c r="L328" s="5" t="s">
        <v>17</v>
      </c>
    </row>
    <row r="329" spans="1:12">
      <c r="A329" s="14" t="s">
        <v>3478</v>
      </c>
      <c r="B329" s="2" t="s">
        <v>3479</v>
      </c>
      <c r="C329" s="2" t="s">
        <v>2667</v>
      </c>
      <c r="D329" s="2" t="s">
        <v>15</v>
      </c>
      <c r="E329" s="2" t="s">
        <v>2663</v>
      </c>
      <c r="F329" s="9">
        <v>46100</v>
      </c>
      <c r="G329" s="9">
        <v>46011</v>
      </c>
      <c r="H329" s="8">
        <v>129.97999999999999</v>
      </c>
      <c r="I329" s="8">
        <v>19.14</v>
      </c>
      <c r="J329" s="9">
        <v>46105</v>
      </c>
      <c r="K329" s="2" t="s">
        <v>3480</v>
      </c>
      <c r="L329" s="2" t="s">
        <v>17</v>
      </c>
    </row>
    <row r="330" spans="1:12">
      <c r="A330" s="14" t="s">
        <v>3481</v>
      </c>
      <c r="B330" s="2" t="s">
        <v>3482</v>
      </c>
      <c r="C330" s="2" t="s">
        <v>2667</v>
      </c>
      <c r="D330" s="2" t="s">
        <v>15</v>
      </c>
      <c r="E330" s="2" t="s">
        <v>2663</v>
      </c>
      <c r="F330" s="9">
        <v>46099</v>
      </c>
      <c r="G330" s="9">
        <v>46011</v>
      </c>
      <c r="H330" s="8">
        <v>192.96</v>
      </c>
      <c r="I330" s="8">
        <v>94</v>
      </c>
      <c r="J330" s="9">
        <v>46104</v>
      </c>
      <c r="K330" s="2" t="s">
        <v>3483</v>
      </c>
      <c r="L330" s="2" t="s">
        <v>17</v>
      </c>
    </row>
    <row r="331" spans="1:12">
      <c r="A331" s="26" t="s">
        <v>3484</v>
      </c>
      <c r="B331" s="26" t="s">
        <v>3485</v>
      </c>
      <c r="C331" s="2" t="s">
        <v>2667</v>
      </c>
      <c r="D331" s="2" t="s">
        <v>15</v>
      </c>
      <c r="E331" s="2" t="s">
        <v>3204</v>
      </c>
      <c r="F331" s="9">
        <v>46108</v>
      </c>
      <c r="G331" s="9" t="s">
        <v>3486</v>
      </c>
      <c r="H331" s="8"/>
      <c r="I331" s="8">
        <v>43.92</v>
      </c>
      <c r="J331" s="9">
        <v>46113</v>
      </c>
      <c r="K331" s="2" t="s">
        <v>3487</v>
      </c>
      <c r="L331" s="2" t="s">
        <v>17</v>
      </c>
    </row>
    <row r="332" spans="1:12">
      <c r="A332" s="14" t="s">
        <v>3488</v>
      </c>
      <c r="B332" s="2" t="s">
        <v>3489</v>
      </c>
      <c r="C332" s="2" t="s">
        <v>14</v>
      </c>
      <c r="D332" s="2" t="s">
        <v>15</v>
      </c>
      <c r="E332" s="2" t="s">
        <v>16</v>
      </c>
      <c r="F332" s="9">
        <v>46108</v>
      </c>
      <c r="G332" s="9">
        <v>46082</v>
      </c>
      <c r="H332" s="8">
        <v>7.11</v>
      </c>
      <c r="I332" s="8"/>
      <c r="J332" s="9"/>
      <c r="K332" s="2"/>
      <c r="L332" s="5" t="s">
        <v>17</v>
      </c>
    </row>
    <row r="333" spans="1:12">
      <c r="A333" s="14" t="s">
        <v>3490</v>
      </c>
      <c r="B333" s="2" t="s">
        <v>3491</v>
      </c>
      <c r="C333" s="2" t="s">
        <v>14</v>
      </c>
      <c r="D333" s="2" t="s">
        <v>15</v>
      </c>
      <c r="E333" s="2" t="s">
        <v>2742</v>
      </c>
      <c r="F333" s="9">
        <v>46108</v>
      </c>
      <c r="G333" s="9">
        <v>46082</v>
      </c>
      <c r="H333" s="8">
        <v>109.99</v>
      </c>
      <c r="I333" s="8">
        <v>54.69</v>
      </c>
      <c r="J333" s="9">
        <v>46113</v>
      </c>
      <c r="K333" s="2" t="s">
        <v>3492</v>
      </c>
      <c r="L333" s="2" t="s">
        <v>17</v>
      </c>
    </row>
    <row r="334" spans="1:12">
      <c r="A334" s="14" t="s">
        <v>3493</v>
      </c>
      <c r="B334" s="2" t="s">
        <v>3494</v>
      </c>
      <c r="C334" s="2" t="s">
        <v>14</v>
      </c>
      <c r="D334" s="2" t="s">
        <v>15</v>
      </c>
      <c r="E334" s="2" t="s">
        <v>2851</v>
      </c>
      <c r="F334" s="9">
        <v>46111</v>
      </c>
      <c r="G334" s="9">
        <v>46082</v>
      </c>
      <c r="H334" s="8">
        <v>99.99</v>
      </c>
      <c r="I334" s="8">
        <v>20.59</v>
      </c>
      <c r="J334" s="9">
        <v>46116</v>
      </c>
      <c r="K334" s="2" t="s">
        <v>3495</v>
      </c>
      <c r="L334" s="2" t="s">
        <v>17</v>
      </c>
    </row>
    <row r="335" spans="1:12">
      <c r="A335" s="14" t="s">
        <v>3496</v>
      </c>
      <c r="B335" s="2" t="s">
        <v>3497</v>
      </c>
      <c r="C335" s="2" t="s">
        <v>14</v>
      </c>
      <c r="D335" s="2" t="s">
        <v>15</v>
      </c>
      <c r="E335" s="2" t="s">
        <v>16</v>
      </c>
      <c r="F335" s="9">
        <v>46108</v>
      </c>
      <c r="G335" s="9">
        <v>46082</v>
      </c>
      <c r="H335" s="8">
        <v>3.58</v>
      </c>
      <c r="I335" s="8"/>
      <c r="J335" s="9"/>
      <c r="K335" s="2"/>
      <c r="L335" s="5" t="s">
        <v>17</v>
      </c>
    </row>
    <row r="336" spans="1:12">
      <c r="A336" s="14" t="s">
        <v>3498</v>
      </c>
      <c r="B336" s="2" t="s">
        <v>3499</v>
      </c>
      <c r="C336" s="2" t="s">
        <v>14</v>
      </c>
      <c r="D336" s="2" t="s">
        <v>15</v>
      </c>
      <c r="E336" s="2" t="s">
        <v>16</v>
      </c>
      <c r="F336" s="9">
        <v>46108</v>
      </c>
      <c r="G336" s="9">
        <v>46082</v>
      </c>
      <c r="H336" s="8">
        <v>3.58</v>
      </c>
      <c r="I336" s="8"/>
      <c r="J336" s="9"/>
      <c r="K336" s="2"/>
      <c r="L336" s="5" t="s">
        <v>17</v>
      </c>
    </row>
    <row r="337" spans="1:12">
      <c r="A337" s="14" t="s">
        <v>3500</v>
      </c>
      <c r="B337" s="2" t="s">
        <v>3501</v>
      </c>
      <c r="C337" s="2" t="s">
        <v>14</v>
      </c>
      <c r="D337" s="2" t="s">
        <v>15</v>
      </c>
      <c r="E337" s="2" t="s">
        <v>3064</v>
      </c>
      <c r="F337" s="9">
        <v>46108</v>
      </c>
      <c r="G337" s="9">
        <v>46082</v>
      </c>
      <c r="H337" s="8">
        <v>109.99</v>
      </c>
      <c r="I337" s="8">
        <v>45.46</v>
      </c>
      <c r="J337" s="9">
        <v>46113</v>
      </c>
      <c r="K337" s="2" t="s">
        <v>3502</v>
      </c>
      <c r="L337" s="2" t="s">
        <v>17</v>
      </c>
    </row>
    <row r="338" spans="1:12">
      <c r="A338" s="14" t="s">
        <v>3503</v>
      </c>
      <c r="B338" s="2" t="s">
        <v>3504</v>
      </c>
      <c r="C338" s="2" t="s">
        <v>14</v>
      </c>
      <c r="D338" s="2" t="s">
        <v>15</v>
      </c>
      <c r="E338" s="2" t="s">
        <v>80</v>
      </c>
      <c r="F338" s="9">
        <v>46113</v>
      </c>
      <c r="G338" s="9">
        <v>46082</v>
      </c>
      <c r="H338" s="8">
        <v>112.7</v>
      </c>
      <c r="I338" s="8">
        <v>38.950000000000003</v>
      </c>
      <c r="J338" s="9">
        <v>46119</v>
      </c>
      <c r="K338" s="2" t="s">
        <v>3505</v>
      </c>
      <c r="L338" s="2" t="s">
        <v>17</v>
      </c>
    </row>
    <row r="339" spans="1:12">
      <c r="A339" s="14" t="s">
        <v>115</v>
      </c>
      <c r="B339" s="2" t="s">
        <v>116</v>
      </c>
      <c r="C339" s="2" t="s">
        <v>14</v>
      </c>
      <c r="D339" s="2" t="s">
        <v>15</v>
      </c>
      <c r="E339" s="2" t="s">
        <v>16</v>
      </c>
      <c r="F339" s="9">
        <v>46108</v>
      </c>
      <c r="G339" s="9">
        <v>46082</v>
      </c>
      <c r="H339" s="8">
        <v>14.22</v>
      </c>
      <c r="I339" s="8"/>
      <c r="J339" s="9"/>
      <c r="K339" s="2"/>
      <c r="L339" s="5" t="s">
        <v>17</v>
      </c>
    </row>
    <row r="340" spans="1:12">
      <c r="A340" s="14" t="s">
        <v>3506</v>
      </c>
      <c r="B340" s="2" t="s">
        <v>3507</v>
      </c>
      <c r="C340" s="2" t="s">
        <v>14</v>
      </c>
      <c r="D340" s="2" t="s">
        <v>15</v>
      </c>
      <c r="E340" s="2" t="s">
        <v>58</v>
      </c>
      <c r="F340" s="9">
        <v>46111</v>
      </c>
      <c r="G340" s="9">
        <v>46082</v>
      </c>
      <c r="H340" s="8">
        <v>139.99</v>
      </c>
      <c r="I340" s="8">
        <v>41.26</v>
      </c>
      <c r="J340" s="9">
        <v>46115</v>
      </c>
      <c r="K340" s="2" t="s">
        <v>3508</v>
      </c>
      <c r="L340" s="2" t="s">
        <v>17</v>
      </c>
    </row>
    <row r="341" spans="1:12">
      <c r="A341" s="14" t="s">
        <v>3509</v>
      </c>
      <c r="B341" s="2" t="s">
        <v>3510</v>
      </c>
      <c r="C341" s="2" t="s">
        <v>14</v>
      </c>
      <c r="D341" s="2" t="s">
        <v>15</v>
      </c>
      <c r="E341" s="2" t="s">
        <v>55</v>
      </c>
      <c r="F341" s="9">
        <v>46120</v>
      </c>
      <c r="G341" s="9">
        <v>46082</v>
      </c>
      <c r="H341" s="8">
        <v>99.99</v>
      </c>
      <c r="I341" s="8">
        <v>37.46</v>
      </c>
      <c r="J341" s="9">
        <v>46124</v>
      </c>
      <c r="K341" s="2" t="s">
        <v>3511</v>
      </c>
      <c r="L341" s="2" t="s">
        <v>17</v>
      </c>
    </row>
    <row r="342" spans="1:12">
      <c r="A342" s="14" t="s">
        <v>3512</v>
      </c>
      <c r="B342" s="2" t="s">
        <v>3513</v>
      </c>
      <c r="C342" s="2" t="s">
        <v>14</v>
      </c>
      <c r="D342" s="2" t="s">
        <v>15</v>
      </c>
      <c r="E342" s="2" t="s">
        <v>55</v>
      </c>
      <c r="F342" s="9">
        <v>46108</v>
      </c>
      <c r="G342" s="9">
        <v>46082</v>
      </c>
      <c r="H342" s="8">
        <v>85.52</v>
      </c>
      <c r="I342" s="8">
        <v>28.25</v>
      </c>
      <c r="J342" s="9">
        <v>46112</v>
      </c>
      <c r="K342" s="2" t="s">
        <v>3514</v>
      </c>
      <c r="L342" s="2" t="s">
        <v>17</v>
      </c>
    </row>
    <row r="343" spans="1:12">
      <c r="A343" s="14" t="s">
        <v>3515</v>
      </c>
      <c r="B343" s="2" t="s">
        <v>3516</v>
      </c>
      <c r="C343" s="2" t="s">
        <v>14</v>
      </c>
      <c r="D343" s="2" t="s">
        <v>15</v>
      </c>
      <c r="F343" s="9">
        <v>46170</v>
      </c>
      <c r="G343" s="9">
        <v>46082</v>
      </c>
      <c r="H343" s="8">
        <v>119.99</v>
      </c>
      <c r="I343" s="8"/>
      <c r="J343" s="9"/>
      <c r="K343" s="2"/>
      <c r="L343" s="2" t="s">
        <v>17</v>
      </c>
    </row>
    <row r="344" spans="1:12">
      <c r="A344" s="14" t="s">
        <v>3517</v>
      </c>
      <c r="B344" s="2" t="s">
        <v>3518</v>
      </c>
      <c r="C344" s="2" t="s">
        <v>14</v>
      </c>
      <c r="D344" s="2" t="s">
        <v>15</v>
      </c>
      <c r="E344" s="2" t="s">
        <v>2574</v>
      </c>
      <c r="F344" s="9">
        <v>46108</v>
      </c>
      <c r="G344" s="9">
        <v>46082</v>
      </c>
      <c r="H344" s="8">
        <v>99.99</v>
      </c>
      <c r="I344" s="8">
        <v>30</v>
      </c>
      <c r="J344" s="9">
        <v>46112</v>
      </c>
      <c r="K344" s="2" t="s">
        <v>3519</v>
      </c>
      <c r="L344" s="2" t="s">
        <v>17</v>
      </c>
    </row>
    <row r="345" spans="1:12">
      <c r="A345" s="14" t="s">
        <v>3520</v>
      </c>
      <c r="B345" s="2" t="s">
        <v>3521</v>
      </c>
      <c r="C345" s="2" t="s">
        <v>14</v>
      </c>
      <c r="D345" s="2" t="s">
        <v>15</v>
      </c>
      <c r="F345" s="9">
        <v>46170</v>
      </c>
      <c r="G345" s="9">
        <v>46082</v>
      </c>
      <c r="H345" s="8">
        <v>98.39</v>
      </c>
      <c r="I345" s="8"/>
      <c r="J345" s="9"/>
      <c r="K345" s="2"/>
      <c r="L345" s="2" t="s">
        <v>17</v>
      </c>
    </row>
    <row r="346" spans="1:12">
      <c r="A346" s="14" t="s">
        <v>3522</v>
      </c>
      <c r="B346" s="2" t="s">
        <v>3523</v>
      </c>
      <c r="C346" s="2" t="s">
        <v>14</v>
      </c>
      <c r="D346" s="2" t="s">
        <v>15</v>
      </c>
      <c r="E346" s="2" t="s">
        <v>55</v>
      </c>
      <c r="F346" s="9">
        <v>46108</v>
      </c>
      <c r="G346" s="9">
        <v>46082</v>
      </c>
      <c r="H346" s="8">
        <v>119.99</v>
      </c>
      <c r="I346" s="8">
        <v>52.41</v>
      </c>
      <c r="J346" s="9">
        <v>46112</v>
      </c>
      <c r="K346" s="2" t="s">
        <v>3524</v>
      </c>
      <c r="L346" s="2" t="s">
        <v>17</v>
      </c>
    </row>
    <row r="347" spans="1:12">
      <c r="A347" s="14" t="s">
        <v>3525</v>
      </c>
      <c r="B347" s="2" t="s">
        <v>3526</v>
      </c>
      <c r="C347" s="2" t="s">
        <v>14</v>
      </c>
      <c r="D347" s="2" t="s">
        <v>15</v>
      </c>
      <c r="E347" s="2" t="s">
        <v>16</v>
      </c>
      <c r="F347" s="9">
        <v>46108</v>
      </c>
      <c r="G347" s="9">
        <v>46082</v>
      </c>
      <c r="H347" s="8">
        <v>29.08</v>
      </c>
      <c r="I347" s="8"/>
      <c r="J347" s="9"/>
      <c r="K347" s="2"/>
      <c r="L347" s="5" t="s">
        <v>17</v>
      </c>
    </row>
    <row r="348" spans="1:12">
      <c r="A348" s="14" t="s">
        <v>3527</v>
      </c>
      <c r="B348" s="2" t="s">
        <v>3528</v>
      </c>
      <c r="C348" s="2" t="s">
        <v>14</v>
      </c>
      <c r="D348" s="2" t="s">
        <v>15</v>
      </c>
      <c r="E348" s="2" t="s">
        <v>16</v>
      </c>
      <c r="F348" s="9">
        <v>46108</v>
      </c>
      <c r="G348" s="9">
        <v>46088</v>
      </c>
      <c r="H348" s="8">
        <v>8.44</v>
      </c>
      <c r="I348" s="8"/>
      <c r="J348" s="9"/>
      <c r="K348" s="2"/>
      <c r="L348" s="5" t="s">
        <v>17</v>
      </c>
    </row>
    <row r="349" spans="1:12">
      <c r="A349" s="14" t="s">
        <v>3529</v>
      </c>
      <c r="B349" s="2" t="s">
        <v>3530</v>
      </c>
      <c r="C349" s="2" t="s">
        <v>14</v>
      </c>
      <c r="D349" s="2" t="s">
        <v>15</v>
      </c>
      <c r="E349" s="2" t="s">
        <v>55</v>
      </c>
      <c r="F349" s="9">
        <v>46118</v>
      </c>
      <c r="G349" s="9">
        <v>46088</v>
      </c>
      <c r="H349" s="8">
        <v>110.9</v>
      </c>
      <c r="I349" s="8">
        <v>25</v>
      </c>
      <c r="J349" s="9">
        <v>46122</v>
      </c>
      <c r="K349" s="2" t="s">
        <v>3531</v>
      </c>
      <c r="L349" s="2" t="s">
        <v>17</v>
      </c>
    </row>
    <row r="350" spans="1:12">
      <c r="A350" s="14" t="s">
        <v>3532</v>
      </c>
      <c r="B350" s="2" t="s">
        <v>3533</v>
      </c>
      <c r="C350" s="2" t="s">
        <v>14</v>
      </c>
      <c r="D350" s="2" t="s">
        <v>15</v>
      </c>
      <c r="E350" s="2" t="s">
        <v>16</v>
      </c>
      <c r="F350" s="9">
        <v>46108</v>
      </c>
      <c r="G350" s="9">
        <v>46088</v>
      </c>
      <c r="H350" s="8">
        <v>14.22</v>
      </c>
      <c r="I350" s="8"/>
      <c r="J350" s="9"/>
      <c r="K350" s="2"/>
      <c r="L350" s="5" t="s">
        <v>17</v>
      </c>
    </row>
    <row r="351" spans="1:12">
      <c r="A351" s="14" t="s">
        <v>28</v>
      </c>
      <c r="B351" s="2" t="s">
        <v>29</v>
      </c>
      <c r="C351" s="2" t="s">
        <v>14</v>
      </c>
      <c r="D351" s="2" t="s">
        <v>15</v>
      </c>
      <c r="E351" s="2" t="s">
        <v>2851</v>
      </c>
      <c r="F351" s="9">
        <v>46114</v>
      </c>
      <c r="G351" s="9">
        <v>46088</v>
      </c>
      <c r="H351" s="8">
        <v>56.8</v>
      </c>
      <c r="I351" s="8">
        <v>11.69</v>
      </c>
      <c r="J351" s="9">
        <v>46119</v>
      </c>
      <c r="K351" s="2" t="s">
        <v>3534</v>
      </c>
      <c r="L351" s="2" t="s">
        <v>17</v>
      </c>
    </row>
    <row r="352" spans="1:12">
      <c r="A352" s="14" t="s">
        <v>3535</v>
      </c>
      <c r="B352" s="2" t="s">
        <v>3536</v>
      </c>
      <c r="C352" s="2" t="s">
        <v>14</v>
      </c>
      <c r="D352" s="2" t="s">
        <v>15</v>
      </c>
      <c r="E352" s="2" t="s">
        <v>16</v>
      </c>
      <c r="F352" s="9">
        <v>46108</v>
      </c>
      <c r="G352" s="9">
        <v>46088</v>
      </c>
      <c r="H352" s="8">
        <v>3.58</v>
      </c>
      <c r="I352" s="8"/>
      <c r="J352" s="9"/>
      <c r="K352" s="2"/>
      <c r="L352" s="5" t="s">
        <v>17</v>
      </c>
    </row>
    <row r="353" spans="1:12">
      <c r="A353" s="14" t="s">
        <v>3537</v>
      </c>
      <c r="B353" s="2" t="s">
        <v>3538</v>
      </c>
      <c r="C353" s="2" t="s">
        <v>14</v>
      </c>
      <c r="D353" s="2" t="s">
        <v>15</v>
      </c>
      <c r="E353" s="2" t="s">
        <v>55</v>
      </c>
      <c r="F353" s="9">
        <v>46111</v>
      </c>
      <c r="G353" s="9">
        <v>46088</v>
      </c>
      <c r="H353" s="8">
        <v>133.46</v>
      </c>
      <c r="I353" s="8">
        <v>39.979999999999997</v>
      </c>
      <c r="J353" s="9">
        <v>46115</v>
      </c>
      <c r="K353" s="2" t="s">
        <v>3539</v>
      </c>
      <c r="L353" s="2" t="s">
        <v>17</v>
      </c>
    </row>
    <row r="354" spans="1:12">
      <c r="A354" s="14" t="s">
        <v>3540</v>
      </c>
      <c r="B354" s="2" t="s">
        <v>3541</v>
      </c>
      <c r="C354" s="2" t="s">
        <v>14</v>
      </c>
      <c r="D354" s="2" t="s">
        <v>15</v>
      </c>
      <c r="E354" s="2" t="s">
        <v>2851</v>
      </c>
      <c r="F354" s="9">
        <v>46111</v>
      </c>
      <c r="G354" s="9">
        <v>46088</v>
      </c>
      <c r="H354" s="8">
        <v>109.99</v>
      </c>
      <c r="I354" s="8">
        <v>40.4</v>
      </c>
      <c r="J354" s="9">
        <v>46082</v>
      </c>
      <c r="K354" s="2" t="s">
        <v>3542</v>
      </c>
      <c r="L354" s="2" t="s">
        <v>17</v>
      </c>
    </row>
    <row r="355" spans="1:12">
      <c r="A355" s="14" t="s">
        <v>2572</v>
      </c>
      <c r="B355" s="2" t="s">
        <v>2573</v>
      </c>
      <c r="C355" s="2" t="s">
        <v>14</v>
      </c>
      <c r="D355" s="2" t="s">
        <v>15</v>
      </c>
      <c r="E355" s="2" t="s">
        <v>2703</v>
      </c>
      <c r="F355" s="9">
        <v>46114</v>
      </c>
      <c r="G355" s="9">
        <v>46088</v>
      </c>
      <c r="H355" s="8">
        <v>99.99</v>
      </c>
      <c r="I355" s="8">
        <v>37.049999999999997</v>
      </c>
      <c r="J355" s="9">
        <v>46116</v>
      </c>
      <c r="K355" s="2" t="s">
        <v>3543</v>
      </c>
      <c r="L355" s="2" t="s">
        <v>17</v>
      </c>
    </row>
    <row r="356" spans="1:12">
      <c r="A356" s="14" t="s">
        <v>3544</v>
      </c>
      <c r="B356" s="2" t="s">
        <v>3545</v>
      </c>
      <c r="C356" s="2" t="s">
        <v>14</v>
      </c>
      <c r="D356" s="2" t="s">
        <v>15</v>
      </c>
      <c r="E356" s="2" t="s">
        <v>55</v>
      </c>
      <c r="F356" s="9">
        <v>46121</v>
      </c>
      <c r="G356" s="9">
        <v>46088</v>
      </c>
      <c r="H356" s="8">
        <v>116.15</v>
      </c>
      <c r="I356" s="8">
        <v>23.95</v>
      </c>
      <c r="J356" s="9">
        <v>46124</v>
      </c>
      <c r="K356" s="2" t="s">
        <v>3546</v>
      </c>
      <c r="L356" s="2" t="s">
        <v>17</v>
      </c>
    </row>
    <row r="357" spans="1:12">
      <c r="A357" s="14" t="s">
        <v>54</v>
      </c>
      <c r="B357" s="2" t="s">
        <v>3547</v>
      </c>
      <c r="C357" s="2" t="s">
        <v>14</v>
      </c>
      <c r="D357" s="2" t="s">
        <v>15</v>
      </c>
      <c r="E357" s="2" t="s">
        <v>16</v>
      </c>
      <c r="F357" s="9">
        <v>46113</v>
      </c>
      <c r="G357" s="9">
        <v>46088</v>
      </c>
      <c r="H357" s="8">
        <v>17.760000000000002</v>
      </c>
      <c r="I357" s="8"/>
      <c r="J357" s="9"/>
      <c r="K357" s="2"/>
      <c r="L357" s="5" t="s">
        <v>17</v>
      </c>
    </row>
    <row r="358" spans="1:12">
      <c r="A358" s="14" t="s">
        <v>2579</v>
      </c>
      <c r="B358" s="2" t="s">
        <v>2580</v>
      </c>
      <c r="C358" s="2" t="s">
        <v>14</v>
      </c>
      <c r="D358" s="2" t="s">
        <v>15</v>
      </c>
      <c r="E358" s="2" t="s">
        <v>58</v>
      </c>
      <c r="F358" s="9">
        <v>46112</v>
      </c>
      <c r="G358" s="9">
        <v>46088</v>
      </c>
      <c r="H358" s="8">
        <v>120.31</v>
      </c>
      <c r="I358" s="8">
        <v>48.72</v>
      </c>
      <c r="J358" s="9">
        <v>46116</v>
      </c>
      <c r="K358" s="2" t="s">
        <v>3548</v>
      </c>
      <c r="L358" s="2" t="s">
        <v>17</v>
      </c>
    </row>
    <row r="359" spans="1:12">
      <c r="A359" s="14" t="s">
        <v>3537</v>
      </c>
      <c r="B359" s="2" t="s">
        <v>3549</v>
      </c>
      <c r="C359" s="2" t="s">
        <v>14</v>
      </c>
      <c r="D359" s="2" t="s">
        <v>15</v>
      </c>
      <c r="E359" s="2" t="s">
        <v>2703</v>
      </c>
      <c r="F359" s="9">
        <v>46112</v>
      </c>
      <c r="G359" s="9">
        <v>46088</v>
      </c>
      <c r="H359" s="8">
        <v>102.66</v>
      </c>
      <c r="I359" s="8">
        <v>20</v>
      </c>
      <c r="J359" s="9">
        <v>46117</v>
      </c>
      <c r="K359" s="2" t="s">
        <v>3550</v>
      </c>
      <c r="L359" s="2" t="s">
        <v>17</v>
      </c>
    </row>
    <row r="360" spans="1:12">
      <c r="A360" s="14" t="s">
        <v>3551</v>
      </c>
      <c r="B360" s="2" t="s">
        <v>3552</v>
      </c>
      <c r="C360" s="2" t="s">
        <v>14</v>
      </c>
      <c r="D360" s="2" t="s">
        <v>15</v>
      </c>
      <c r="E360" s="2" t="s">
        <v>55</v>
      </c>
      <c r="F360" s="9">
        <v>46112</v>
      </c>
      <c r="G360" s="9">
        <v>46088</v>
      </c>
      <c r="H360" s="8">
        <v>107.12</v>
      </c>
      <c r="I360" s="8">
        <v>36.020000000000003</v>
      </c>
      <c r="J360" s="9">
        <v>46116</v>
      </c>
      <c r="K360" s="2" t="s">
        <v>3553</v>
      </c>
      <c r="L360" s="2" t="s">
        <v>17</v>
      </c>
    </row>
    <row r="361" spans="1:12">
      <c r="A361" s="14" t="s">
        <v>2597</v>
      </c>
      <c r="B361" s="2" t="s">
        <v>2598</v>
      </c>
      <c r="C361" s="2" t="s">
        <v>14</v>
      </c>
      <c r="D361" s="2" t="s">
        <v>15</v>
      </c>
      <c r="E361" s="2" t="s">
        <v>55</v>
      </c>
      <c r="F361" s="9">
        <v>46112</v>
      </c>
      <c r="G361" s="9">
        <v>46088</v>
      </c>
      <c r="H361" s="8">
        <v>109.99</v>
      </c>
      <c r="I361" s="8">
        <v>30.9</v>
      </c>
      <c r="J361" s="9">
        <v>46116</v>
      </c>
      <c r="K361" s="2" t="s">
        <v>3554</v>
      </c>
      <c r="L361" s="2" t="s">
        <v>17</v>
      </c>
    </row>
    <row r="362" spans="1:12">
      <c r="A362" s="14" t="s">
        <v>3555</v>
      </c>
      <c r="B362" s="2" t="s">
        <v>3556</v>
      </c>
      <c r="C362" s="2" t="s">
        <v>14</v>
      </c>
      <c r="D362" s="2" t="s">
        <v>15</v>
      </c>
      <c r="E362" s="2" t="s">
        <v>2742</v>
      </c>
      <c r="F362" s="9">
        <v>46113</v>
      </c>
      <c r="G362" s="9">
        <v>46088</v>
      </c>
      <c r="H362" s="8">
        <v>109.99</v>
      </c>
      <c r="I362" s="8">
        <v>22.5</v>
      </c>
      <c r="J362" s="9">
        <v>46117</v>
      </c>
      <c r="K362" s="2" t="s">
        <v>3557</v>
      </c>
      <c r="L362" s="2" t="s">
        <v>17</v>
      </c>
    </row>
    <row r="363" spans="1:12">
      <c r="A363" s="14" t="s">
        <v>3558</v>
      </c>
      <c r="B363" s="2" t="s">
        <v>3559</v>
      </c>
      <c r="C363" s="2" t="s">
        <v>14</v>
      </c>
      <c r="D363" s="2" t="s">
        <v>15</v>
      </c>
      <c r="E363" s="2" t="s">
        <v>58</v>
      </c>
      <c r="F363" s="9">
        <v>46114</v>
      </c>
      <c r="G363" s="9">
        <v>46088</v>
      </c>
      <c r="H363" s="8">
        <v>99.99</v>
      </c>
      <c r="I363" s="8">
        <v>35.130000000000003</v>
      </c>
      <c r="J363" s="9">
        <v>46118</v>
      </c>
      <c r="K363" s="2" t="s">
        <v>3560</v>
      </c>
      <c r="L363" s="2" t="s">
        <v>17</v>
      </c>
    </row>
    <row r="364" spans="1:12">
      <c r="A364" s="14" t="s">
        <v>3561</v>
      </c>
      <c r="B364" s="2" t="s">
        <v>3562</v>
      </c>
      <c r="C364" s="2" t="s">
        <v>14</v>
      </c>
      <c r="D364" s="2" t="s">
        <v>15</v>
      </c>
      <c r="F364" s="9">
        <v>46170</v>
      </c>
      <c r="G364" s="9">
        <v>46088</v>
      </c>
      <c r="H364" s="8">
        <v>139.99</v>
      </c>
      <c r="I364" s="8"/>
      <c r="J364" s="9"/>
      <c r="K364" s="2"/>
      <c r="L364" s="2" t="s">
        <v>17</v>
      </c>
    </row>
    <row r="365" spans="1:12">
      <c r="A365" s="14" t="s">
        <v>3563</v>
      </c>
      <c r="B365" s="2" t="s">
        <v>3564</v>
      </c>
      <c r="C365" s="2" t="s">
        <v>14</v>
      </c>
      <c r="D365" s="2" t="s">
        <v>15</v>
      </c>
      <c r="E365" s="2" t="s">
        <v>2742</v>
      </c>
      <c r="F365" s="9">
        <v>46114</v>
      </c>
      <c r="G365" s="9">
        <v>46088</v>
      </c>
      <c r="H365" s="8">
        <v>88.74</v>
      </c>
      <c r="I365" s="8">
        <v>40.25</v>
      </c>
      <c r="J365" s="9">
        <v>46119</v>
      </c>
      <c r="K365" s="2" t="s">
        <v>3565</v>
      </c>
      <c r="L365" s="2" t="s">
        <v>17</v>
      </c>
    </row>
    <row r="366" spans="1:12">
      <c r="A366" s="14" t="s">
        <v>3566</v>
      </c>
      <c r="B366" s="2" t="s">
        <v>3567</v>
      </c>
      <c r="C366" s="2" t="s">
        <v>14</v>
      </c>
      <c r="D366" s="2" t="s">
        <v>15</v>
      </c>
      <c r="E366" s="2" t="s">
        <v>2851</v>
      </c>
      <c r="F366" s="9">
        <v>46118</v>
      </c>
      <c r="G366" s="9">
        <v>46088</v>
      </c>
      <c r="H366" s="8">
        <v>85.2</v>
      </c>
      <c r="I366" s="8">
        <v>10.93</v>
      </c>
      <c r="J366" s="9">
        <v>46119</v>
      </c>
      <c r="K366" s="2" t="s">
        <v>3568</v>
      </c>
      <c r="L366" s="2" t="s">
        <v>17</v>
      </c>
    </row>
    <row r="367" spans="1:12">
      <c r="A367" s="14" t="s">
        <v>2627</v>
      </c>
      <c r="B367" s="2" t="s">
        <v>2628</v>
      </c>
      <c r="C367" s="2" t="s">
        <v>14</v>
      </c>
      <c r="D367" s="2" t="s">
        <v>15</v>
      </c>
      <c r="E367" s="2" t="s">
        <v>2703</v>
      </c>
      <c r="F367" s="9">
        <v>46113</v>
      </c>
      <c r="G367" s="9">
        <v>46088</v>
      </c>
      <c r="H367" s="8">
        <v>99.99</v>
      </c>
      <c r="I367" s="8">
        <v>56.32</v>
      </c>
      <c r="J367" s="9">
        <v>46118</v>
      </c>
      <c r="K367" s="2" t="s">
        <v>3569</v>
      </c>
      <c r="L367" s="2" t="s">
        <v>17</v>
      </c>
    </row>
    <row r="368" spans="1:12">
      <c r="A368" s="14" t="s">
        <v>2620</v>
      </c>
      <c r="B368" s="2" t="s">
        <v>2621</v>
      </c>
      <c r="C368" s="2" t="s">
        <v>14</v>
      </c>
      <c r="D368" s="2" t="s">
        <v>15</v>
      </c>
      <c r="E368" s="2" t="s">
        <v>55</v>
      </c>
      <c r="F368" s="9">
        <v>46118</v>
      </c>
      <c r="G368" s="9">
        <v>46088</v>
      </c>
      <c r="H368" s="8">
        <v>119.99</v>
      </c>
      <c r="I368" s="8">
        <v>27.58</v>
      </c>
      <c r="J368" s="9">
        <v>46122</v>
      </c>
      <c r="K368" s="2" t="s">
        <v>3570</v>
      </c>
      <c r="L368" s="2" t="s">
        <v>17</v>
      </c>
    </row>
    <row r="369" spans="1:12">
      <c r="A369" s="14" t="s">
        <v>1485</v>
      </c>
      <c r="B369" s="2" t="s">
        <v>1486</v>
      </c>
      <c r="C369" s="2" t="s">
        <v>14</v>
      </c>
      <c r="D369" s="2" t="s">
        <v>15</v>
      </c>
      <c r="E369" s="2" t="s">
        <v>16</v>
      </c>
      <c r="F369" s="9">
        <v>46113</v>
      </c>
      <c r="G369" s="9">
        <v>46088</v>
      </c>
      <c r="H369" s="8">
        <v>28.42</v>
      </c>
      <c r="I369" s="8"/>
      <c r="J369" s="9"/>
      <c r="K369" s="2"/>
      <c r="L369" s="5" t="s">
        <v>17</v>
      </c>
    </row>
    <row r="370" spans="1:12">
      <c r="A370" s="14" t="s">
        <v>3571</v>
      </c>
      <c r="B370" s="2" t="s">
        <v>3572</v>
      </c>
      <c r="C370" s="2" t="s">
        <v>14</v>
      </c>
      <c r="D370" s="2" t="s">
        <v>15</v>
      </c>
      <c r="F370" s="9">
        <v>46170</v>
      </c>
      <c r="G370" s="9">
        <v>46088</v>
      </c>
      <c r="H370" s="8">
        <v>112.08</v>
      </c>
      <c r="I370" s="8"/>
      <c r="J370" s="9"/>
      <c r="K370" s="2"/>
      <c r="L370" s="2" t="s">
        <v>17</v>
      </c>
    </row>
    <row r="371" spans="1:12">
      <c r="A371" s="14" t="s">
        <v>3573</v>
      </c>
      <c r="B371" s="2" t="s">
        <v>3574</v>
      </c>
      <c r="C371" s="2" t="s">
        <v>14</v>
      </c>
      <c r="D371" s="2" t="s">
        <v>15</v>
      </c>
      <c r="E371" s="2" t="s">
        <v>2851</v>
      </c>
      <c r="F371" s="9">
        <v>46114</v>
      </c>
      <c r="G371" s="9">
        <v>46088</v>
      </c>
      <c r="H371" s="8">
        <v>99.99</v>
      </c>
      <c r="I371" s="8">
        <v>20.57</v>
      </c>
      <c r="J371" s="9">
        <v>46119</v>
      </c>
      <c r="K371" s="2" t="s">
        <v>3575</v>
      </c>
      <c r="L371" s="2" t="s">
        <v>17</v>
      </c>
    </row>
    <row r="372" spans="1:12">
      <c r="A372" s="14" t="s">
        <v>2623</v>
      </c>
      <c r="B372" s="2" t="s">
        <v>2624</v>
      </c>
      <c r="C372" s="2" t="s">
        <v>14</v>
      </c>
      <c r="D372" s="2" t="s">
        <v>15</v>
      </c>
      <c r="E372" s="2" t="s">
        <v>58</v>
      </c>
      <c r="F372" s="9">
        <v>46114</v>
      </c>
      <c r="G372" s="9">
        <v>46088</v>
      </c>
      <c r="H372" s="8">
        <v>119.99</v>
      </c>
      <c r="I372" s="8">
        <v>38.380000000000003</v>
      </c>
      <c r="J372" s="9">
        <v>46118</v>
      </c>
      <c r="K372" s="2" t="s">
        <v>3576</v>
      </c>
      <c r="L372" s="2" t="s">
        <v>17</v>
      </c>
    </row>
    <row r="373" spans="1:12">
      <c r="A373" s="14" t="s">
        <v>3577</v>
      </c>
      <c r="B373" s="2" t="s">
        <v>3578</v>
      </c>
      <c r="C373" s="2" t="s">
        <v>14</v>
      </c>
      <c r="D373" s="2" t="s">
        <v>15</v>
      </c>
      <c r="E373" s="2" t="s">
        <v>16</v>
      </c>
      <c r="F373" s="9">
        <v>46114</v>
      </c>
      <c r="G373" s="9">
        <v>46088</v>
      </c>
      <c r="H373" s="8">
        <v>4.2300000000000004</v>
      </c>
      <c r="I373" s="8"/>
      <c r="J373" s="9"/>
      <c r="K373" s="2"/>
      <c r="L373" s="5" t="s">
        <v>17</v>
      </c>
    </row>
    <row r="374" spans="1:12">
      <c r="A374" s="14" t="s">
        <v>118</v>
      </c>
      <c r="B374" s="2" t="s">
        <v>119</v>
      </c>
      <c r="C374" s="2" t="s">
        <v>14</v>
      </c>
      <c r="D374" s="2" t="s">
        <v>15</v>
      </c>
      <c r="E374" s="2" t="s">
        <v>16</v>
      </c>
      <c r="F374" s="9">
        <v>46114</v>
      </c>
      <c r="G374" s="9">
        <v>46088</v>
      </c>
      <c r="H374" s="8">
        <v>7.11</v>
      </c>
      <c r="I374" s="8"/>
      <c r="J374" s="9"/>
      <c r="K374" s="2"/>
      <c r="L374" s="5" t="s">
        <v>17</v>
      </c>
    </row>
    <row r="375" spans="1:12">
      <c r="A375" s="14" t="s">
        <v>2645</v>
      </c>
      <c r="B375" s="2" t="s">
        <v>2646</v>
      </c>
      <c r="C375" s="2" t="s">
        <v>14</v>
      </c>
      <c r="D375" s="2" t="s">
        <v>15</v>
      </c>
      <c r="E375" s="2" t="s">
        <v>55</v>
      </c>
      <c r="F375" s="9">
        <v>46114</v>
      </c>
      <c r="G375" s="9">
        <v>46088</v>
      </c>
      <c r="H375" s="8">
        <v>109.99</v>
      </c>
      <c r="I375" s="8">
        <v>54.37</v>
      </c>
      <c r="J375" s="9">
        <v>46119</v>
      </c>
      <c r="K375" s="2" t="s">
        <v>3579</v>
      </c>
      <c r="L375" s="2" t="s">
        <v>17</v>
      </c>
    </row>
    <row r="376" spans="1:12">
      <c r="A376" s="14" t="s">
        <v>2638</v>
      </c>
      <c r="B376" s="2" t="s">
        <v>2639</v>
      </c>
      <c r="C376" s="2" t="s">
        <v>14</v>
      </c>
      <c r="D376" s="2" t="s">
        <v>15</v>
      </c>
      <c r="E376" s="2" t="s">
        <v>55</v>
      </c>
      <c r="F376" s="9">
        <v>46118</v>
      </c>
      <c r="G376" s="9">
        <v>46088</v>
      </c>
      <c r="H376" s="8">
        <v>99.99</v>
      </c>
      <c r="I376" s="8">
        <v>30</v>
      </c>
      <c r="J376" s="9">
        <v>46122</v>
      </c>
      <c r="K376" s="2" t="s">
        <v>3580</v>
      </c>
      <c r="L376" s="2" t="s">
        <v>17</v>
      </c>
    </row>
    <row r="377" spans="1:12">
      <c r="A377" s="14" t="s">
        <v>3581</v>
      </c>
      <c r="B377" s="2" t="s">
        <v>3582</v>
      </c>
      <c r="C377" s="2" t="s">
        <v>14</v>
      </c>
      <c r="D377" s="2" t="s">
        <v>15</v>
      </c>
      <c r="F377" s="9">
        <v>46170</v>
      </c>
      <c r="G377" s="9">
        <v>46088</v>
      </c>
      <c r="H377" s="8">
        <v>58.09</v>
      </c>
      <c r="I377" s="8"/>
      <c r="J377" s="9"/>
      <c r="K377" s="2"/>
      <c r="L377" s="2" t="s">
        <v>17</v>
      </c>
    </row>
    <row r="378" spans="1:12">
      <c r="A378" s="14" t="s">
        <v>3583</v>
      </c>
      <c r="B378" s="2" t="s">
        <v>3584</v>
      </c>
      <c r="C378" s="2" t="s">
        <v>14</v>
      </c>
      <c r="D378" s="2" t="s">
        <v>15</v>
      </c>
      <c r="F378" s="9">
        <v>46170</v>
      </c>
      <c r="G378" s="9">
        <v>46088</v>
      </c>
      <c r="H378" s="8">
        <v>111.19</v>
      </c>
      <c r="I378" s="8"/>
      <c r="J378" s="9"/>
      <c r="K378" s="2"/>
      <c r="L378" s="2" t="s">
        <v>17</v>
      </c>
    </row>
    <row r="379" spans="1:12">
      <c r="A379" s="14" t="s">
        <v>3585</v>
      </c>
      <c r="B379" s="2" t="s">
        <v>3586</v>
      </c>
      <c r="C379" s="2" t="s">
        <v>14</v>
      </c>
      <c r="D379" s="2" t="s">
        <v>15</v>
      </c>
      <c r="E379" s="2" t="s">
        <v>16</v>
      </c>
      <c r="F379" s="9">
        <v>46114</v>
      </c>
      <c r="G379" s="9">
        <v>46088</v>
      </c>
      <c r="H379" s="8">
        <v>34.840000000000003</v>
      </c>
      <c r="I379" s="8"/>
      <c r="J379" s="9"/>
      <c r="K379" s="2"/>
      <c r="L379" s="5" t="s">
        <v>17</v>
      </c>
    </row>
    <row r="380" spans="1:12">
      <c r="A380" s="14" t="s">
        <v>2642</v>
      </c>
      <c r="B380" s="2" t="s">
        <v>2643</v>
      </c>
      <c r="C380" s="2" t="s">
        <v>14</v>
      </c>
      <c r="D380" s="2" t="s">
        <v>15</v>
      </c>
      <c r="E380" s="2" t="s">
        <v>2703</v>
      </c>
      <c r="F380" s="9">
        <v>46114</v>
      </c>
      <c r="G380" s="9">
        <v>46088</v>
      </c>
      <c r="H380" s="8">
        <v>109.99</v>
      </c>
      <c r="I380" s="8">
        <v>40.799999999999997</v>
      </c>
      <c r="J380" s="9">
        <v>46119</v>
      </c>
      <c r="K380" s="2" t="s">
        <v>3587</v>
      </c>
      <c r="L380" s="2" t="s">
        <v>17</v>
      </c>
    </row>
    <row r="381" spans="1:12">
      <c r="A381" s="14" t="s">
        <v>3588</v>
      </c>
      <c r="B381" s="2" t="s">
        <v>1546</v>
      </c>
      <c r="C381" s="2" t="s">
        <v>14</v>
      </c>
      <c r="D381" s="2" t="s">
        <v>15</v>
      </c>
      <c r="E381" s="2" t="s">
        <v>16</v>
      </c>
      <c r="F381" s="9">
        <v>46114</v>
      </c>
      <c r="G381" s="9">
        <v>46088</v>
      </c>
      <c r="H381" s="8">
        <v>17.760000000000002</v>
      </c>
      <c r="I381" s="8"/>
      <c r="J381" s="9"/>
      <c r="K381" s="2"/>
      <c r="L381" s="5" t="s">
        <v>17</v>
      </c>
    </row>
    <row r="382" spans="1:12">
      <c r="A382" s="14" t="s">
        <v>3589</v>
      </c>
      <c r="B382" s="2" t="s">
        <v>3590</v>
      </c>
      <c r="C382" s="2" t="s">
        <v>14</v>
      </c>
      <c r="D382" s="2" t="s">
        <v>15</v>
      </c>
      <c r="F382" s="9">
        <v>46170</v>
      </c>
      <c r="G382" s="9">
        <v>46088</v>
      </c>
      <c r="H382" s="8">
        <v>67.44</v>
      </c>
      <c r="I382" s="8"/>
      <c r="J382" s="9"/>
      <c r="K382" s="2"/>
      <c r="L382" s="2" t="s">
        <v>17</v>
      </c>
    </row>
    <row r="383" spans="1:12">
      <c r="A383" s="14" t="s">
        <v>2656</v>
      </c>
      <c r="B383" s="2" t="s">
        <v>2657</v>
      </c>
      <c r="C383" s="2" t="s">
        <v>14</v>
      </c>
      <c r="D383" s="2" t="s">
        <v>15</v>
      </c>
      <c r="E383" s="2" t="s">
        <v>2851</v>
      </c>
      <c r="F383" s="9">
        <v>46114</v>
      </c>
      <c r="G383" s="9">
        <v>46088</v>
      </c>
      <c r="H383" s="8">
        <v>51.07</v>
      </c>
      <c r="I383" s="8">
        <v>20.5</v>
      </c>
      <c r="J383" s="9">
        <v>46120</v>
      </c>
      <c r="K383" s="2" t="s">
        <v>3591</v>
      </c>
      <c r="L383" s="2" t="s">
        <v>17</v>
      </c>
    </row>
    <row r="384" spans="1:12">
      <c r="A384" s="14" t="s">
        <v>3592</v>
      </c>
      <c r="B384" s="2" t="s">
        <v>3593</v>
      </c>
      <c r="C384" s="2" t="s">
        <v>14</v>
      </c>
      <c r="D384" s="2" t="s">
        <v>15</v>
      </c>
      <c r="E384" s="2" t="s">
        <v>16</v>
      </c>
      <c r="F384" s="9">
        <v>46114</v>
      </c>
      <c r="G384" s="9">
        <v>46088</v>
      </c>
      <c r="H384" s="8">
        <v>3.26</v>
      </c>
      <c r="I384" s="8"/>
      <c r="J384" s="9"/>
      <c r="K384" s="2"/>
      <c r="L384" s="5" t="s">
        <v>17</v>
      </c>
    </row>
    <row r="385" spans="1:12">
      <c r="A385" s="14" t="s">
        <v>1517</v>
      </c>
      <c r="B385" s="2" t="s">
        <v>1518</v>
      </c>
      <c r="C385" s="2" t="s">
        <v>14</v>
      </c>
      <c r="D385" s="2" t="s">
        <v>15</v>
      </c>
      <c r="E385" s="2" t="s">
        <v>16</v>
      </c>
      <c r="F385" s="9">
        <v>46114</v>
      </c>
      <c r="G385" s="9">
        <v>46088</v>
      </c>
      <c r="H385" s="8">
        <v>37.78</v>
      </c>
      <c r="I385" s="8"/>
      <c r="J385" s="9"/>
      <c r="K385" s="2"/>
      <c r="L385" s="5" t="s">
        <v>17</v>
      </c>
    </row>
    <row r="386" spans="1:12">
      <c r="A386" s="14" t="s">
        <v>3594</v>
      </c>
      <c r="B386" s="2" t="s">
        <v>3595</v>
      </c>
      <c r="C386" s="2" t="s">
        <v>14</v>
      </c>
      <c r="D386" s="2" t="s">
        <v>15</v>
      </c>
      <c r="E386" s="2" t="s">
        <v>16</v>
      </c>
      <c r="F386" s="9">
        <v>46114</v>
      </c>
      <c r="G386" s="9">
        <v>46088</v>
      </c>
      <c r="H386" s="8">
        <v>32.9</v>
      </c>
      <c r="I386" s="8"/>
      <c r="J386" s="9"/>
      <c r="K386" s="2"/>
      <c r="L386" s="5" t="s">
        <v>17</v>
      </c>
    </row>
    <row r="387" spans="1:12">
      <c r="A387" s="14" t="s">
        <v>3596</v>
      </c>
      <c r="B387" s="2" t="s">
        <v>3597</v>
      </c>
      <c r="C387" s="2" t="s">
        <v>14</v>
      </c>
      <c r="D387" s="2" t="s">
        <v>15</v>
      </c>
      <c r="E387" s="2" t="s">
        <v>2703</v>
      </c>
      <c r="F387" s="9">
        <v>46112</v>
      </c>
      <c r="G387" s="9">
        <v>46088</v>
      </c>
      <c r="H387" s="8">
        <v>119.99</v>
      </c>
      <c r="I387" s="8">
        <v>39.6</v>
      </c>
      <c r="J387" s="9">
        <v>46117</v>
      </c>
      <c r="K387" s="2" t="s">
        <v>3598</v>
      </c>
      <c r="L387" s="2" t="s">
        <v>17</v>
      </c>
    </row>
    <row r="388" spans="1:12">
      <c r="A388" s="14" t="s">
        <v>3599</v>
      </c>
      <c r="B388" s="2" t="s">
        <v>3600</v>
      </c>
      <c r="C388" s="2" t="s">
        <v>14</v>
      </c>
      <c r="D388" s="2" t="s">
        <v>15</v>
      </c>
      <c r="E388" s="2" t="s">
        <v>3204</v>
      </c>
      <c r="F388" s="9">
        <v>46112</v>
      </c>
      <c r="G388" s="9">
        <v>46088</v>
      </c>
      <c r="H388" s="8">
        <v>100.61</v>
      </c>
      <c r="I388" s="8">
        <v>25.17</v>
      </c>
      <c r="J388" s="9">
        <v>46086</v>
      </c>
      <c r="K388" s="2" t="s">
        <v>3601</v>
      </c>
      <c r="L388" s="2" t="s">
        <v>17</v>
      </c>
    </row>
    <row r="389" spans="1:12">
      <c r="A389" s="14" t="s">
        <v>3602</v>
      </c>
      <c r="B389" s="2" t="s">
        <v>3603</v>
      </c>
      <c r="C389" s="2" t="s">
        <v>14</v>
      </c>
      <c r="D389" s="2" t="s">
        <v>15</v>
      </c>
      <c r="E389" s="2" t="s">
        <v>16</v>
      </c>
      <c r="F389" s="9">
        <v>46114</v>
      </c>
      <c r="G389" s="9">
        <v>46088</v>
      </c>
      <c r="H389" s="8">
        <v>14.19</v>
      </c>
      <c r="I389" s="8"/>
      <c r="J389" s="9"/>
      <c r="K389" s="2"/>
      <c r="L389" s="5" t="s">
        <v>17</v>
      </c>
    </row>
    <row r="390" spans="1:12">
      <c r="A390" s="14" t="s">
        <v>3604</v>
      </c>
      <c r="B390" s="2" t="s">
        <v>3605</v>
      </c>
      <c r="C390" s="2" t="s">
        <v>14</v>
      </c>
      <c r="D390" s="2" t="s">
        <v>15</v>
      </c>
      <c r="E390" s="2" t="s">
        <v>23</v>
      </c>
      <c r="F390" s="9">
        <v>46112</v>
      </c>
      <c r="G390" s="9">
        <v>46088</v>
      </c>
      <c r="H390" s="8">
        <v>67.78</v>
      </c>
      <c r="I390" s="8">
        <v>30</v>
      </c>
      <c r="J390" s="9">
        <v>46117</v>
      </c>
      <c r="K390" s="2" t="s">
        <v>3606</v>
      </c>
      <c r="L390" s="2" t="s">
        <v>17</v>
      </c>
    </row>
    <row r="391" spans="1:12">
      <c r="A391" s="14" t="s">
        <v>3607</v>
      </c>
      <c r="B391" s="2" t="s">
        <v>3608</v>
      </c>
      <c r="C391" s="2" t="s">
        <v>14</v>
      </c>
      <c r="D391" s="2" t="s">
        <v>15</v>
      </c>
      <c r="E391" s="2" t="s">
        <v>16</v>
      </c>
      <c r="F391" s="9">
        <v>46114</v>
      </c>
      <c r="G391" s="9">
        <v>46088</v>
      </c>
      <c r="H391" s="8">
        <v>6.49</v>
      </c>
      <c r="I391" s="8"/>
      <c r="J391" s="9"/>
      <c r="K391" s="2"/>
      <c r="L391" s="5" t="s">
        <v>17</v>
      </c>
    </row>
    <row r="392" spans="1:12">
      <c r="A392" s="14" t="s">
        <v>3609</v>
      </c>
      <c r="B392" s="2" t="s">
        <v>3610</v>
      </c>
      <c r="C392" s="2" t="s">
        <v>14</v>
      </c>
      <c r="D392" s="2" t="s">
        <v>15</v>
      </c>
      <c r="E392" s="2" t="s">
        <v>16</v>
      </c>
      <c r="F392" s="9">
        <v>46114</v>
      </c>
      <c r="G392" s="9">
        <v>46088</v>
      </c>
      <c r="H392" s="8">
        <v>5.96</v>
      </c>
      <c r="I392" s="8"/>
      <c r="J392" s="9"/>
      <c r="K392" s="2"/>
      <c r="L392" s="5" t="s">
        <v>17</v>
      </c>
    </row>
    <row r="393" spans="1:12">
      <c r="A393" s="14" t="s">
        <v>3611</v>
      </c>
      <c r="B393" s="2" t="s">
        <v>3612</v>
      </c>
      <c r="C393" s="2" t="s">
        <v>3613</v>
      </c>
      <c r="D393" s="2" t="s">
        <v>15</v>
      </c>
      <c r="E393" s="2" t="s">
        <v>55</v>
      </c>
      <c r="F393" s="9">
        <v>46122</v>
      </c>
      <c r="G393" s="9">
        <v>46023</v>
      </c>
      <c r="H393" s="8">
        <v>3071.94</v>
      </c>
      <c r="I393" s="8">
        <v>646.69000000000005</v>
      </c>
      <c r="J393" s="9">
        <v>46127</v>
      </c>
      <c r="K393" s="2" t="s">
        <v>3614</v>
      </c>
      <c r="L393" s="2" t="s">
        <v>17</v>
      </c>
    </row>
    <row r="394" spans="1:12">
      <c r="A394" s="14" t="s">
        <v>3615</v>
      </c>
      <c r="B394" s="2" t="s">
        <v>3616</v>
      </c>
      <c r="C394" s="2" t="s">
        <v>3613</v>
      </c>
      <c r="D394" s="2" t="s">
        <v>15</v>
      </c>
      <c r="E394" s="2" t="s">
        <v>55</v>
      </c>
      <c r="F394" s="9">
        <v>46122</v>
      </c>
      <c r="G394" s="9">
        <v>46023</v>
      </c>
      <c r="H394" s="8">
        <v>452.33</v>
      </c>
      <c r="I394" s="8">
        <v>49.56</v>
      </c>
      <c r="J394" s="9">
        <v>46127</v>
      </c>
      <c r="K394" s="2" t="s">
        <v>3617</v>
      </c>
      <c r="L394" s="2" t="s">
        <v>17</v>
      </c>
    </row>
    <row r="395" spans="1:12">
      <c r="A395" s="14" t="s">
        <v>3618</v>
      </c>
      <c r="B395" s="2" t="s">
        <v>3619</v>
      </c>
      <c r="C395" s="2" t="s">
        <v>14</v>
      </c>
      <c r="D395" s="2" t="s">
        <v>15</v>
      </c>
      <c r="E395" s="2" t="s">
        <v>23</v>
      </c>
      <c r="F395" s="9">
        <v>46119</v>
      </c>
      <c r="G395" s="9">
        <v>46091</v>
      </c>
      <c r="H395" s="8">
        <v>143.5</v>
      </c>
      <c r="I395" s="8">
        <v>50</v>
      </c>
      <c r="J395" s="9">
        <v>46122</v>
      </c>
      <c r="K395" s="2" t="s">
        <v>3620</v>
      </c>
      <c r="L395" s="2" t="s">
        <v>17</v>
      </c>
    </row>
    <row r="396" spans="1:12">
      <c r="A396" s="14" t="s">
        <v>3621</v>
      </c>
      <c r="B396" s="2" t="s">
        <v>3622</v>
      </c>
      <c r="C396" s="2" t="s">
        <v>14</v>
      </c>
      <c r="D396" s="2" t="s">
        <v>15</v>
      </c>
      <c r="E396" s="2" t="s">
        <v>58</v>
      </c>
      <c r="F396" s="9">
        <v>46127</v>
      </c>
      <c r="G396" s="9">
        <v>46091</v>
      </c>
      <c r="H396" s="8">
        <v>109.99</v>
      </c>
      <c r="I396" s="8">
        <v>30</v>
      </c>
      <c r="J396" s="9">
        <v>46130</v>
      </c>
      <c r="K396" s="2" t="s">
        <v>3623</v>
      </c>
      <c r="L396" s="2" t="s">
        <v>17</v>
      </c>
    </row>
    <row r="397" spans="1:12">
      <c r="A397" s="14" t="s">
        <v>3624</v>
      </c>
      <c r="B397" s="2" t="s">
        <v>3625</v>
      </c>
      <c r="C397" s="2" t="s">
        <v>14</v>
      </c>
      <c r="D397" s="2" t="s">
        <v>15</v>
      </c>
      <c r="E397" s="2" t="s">
        <v>2574</v>
      </c>
      <c r="F397" s="9">
        <v>46118</v>
      </c>
      <c r="G397" s="9">
        <v>46091</v>
      </c>
      <c r="H397" s="8">
        <v>99.37</v>
      </c>
      <c r="I397" s="8">
        <v>20</v>
      </c>
      <c r="J397" s="9">
        <v>46090</v>
      </c>
      <c r="K397" s="2" t="s">
        <v>3626</v>
      </c>
      <c r="L397" s="2" t="s">
        <v>17</v>
      </c>
    </row>
    <row r="398" spans="1:12">
      <c r="A398" s="14" t="s">
        <v>2737</v>
      </c>
      <c r="B398" s="2" t="s">
        <v>2738</v>
      </c>
      <c r="C398" s="2" t="s">
        <v>14</v>
      </c>
      <c r="D398" s="2" t="s">
        <v>15</v>
      </c>
      <c r="E398" s="2" t="s">
        <v>55</v>
      </c>
      <c r="F398" s="9">
        <v>46118</v>
      </c>
      <c r="G398" s="9">
        <v>46091</v>
      </c>
      <c r="H398" s="8">
        <v>139.99</v>
      </c>
      <c r="I398" s="8">
        <v>39.380000000000003</v>
      </c>
      <c r="J398" s="9">
        <v>46122</v>
      </c>
      <c r="K398" s="2" t="s">
        <v>3627</v>
      </c>
      <c r="L398" s="2" t="s">
        <v>17</v>
      </c>
    </row>
    <row r="399" spans="1:12">
      <c r="A399" s="14" t="s">
        <v>3628</v>
      </c>
      <c r="B399" s="2" t="s">
        <v>3629</v>
      </c>
      <c r="C399" s="2" t="s">
        <v>14</v>
      </c>
      <c r="D399" s="2" t="s">
        <v>15</v>
      </c>
      <c r="E399" s="2" t="s">
        <v>55</v>
      </c>
      <c r="F399" s="9">
        <v>46118</v>
      </c>
      <c r="G399" s="9">
        <v>46091</v>
      </c>
      <c r="H399" s="8">
        <v>139.99</v>
      </c>
      <c r="I399" s="8">
        <v>60.83</v>
      </c>
      <c r="J399" s="9">
        <v>46122</v>
      </c>
      <c r="K399" s="2" t="s">
        <v>3630</v>
      </c>
      <c r="L399" s="2" t="s">
        <v>17</v>
      </c>
    </row>
    <row r="400" spans="1:12">
      <c r="A400" s="14" t="s">
        <v>2747</v>
      </c>
      <c r="B400" s="2" t="s">
        <v>2748</v>
      </c>
      <c r="C400" s="2" t="s">
        <v>14</v>
      </c>
      <c r="D400" s="2" t="s">
        <v>15</v>
      </c>
      <c r="E400" s="2" t="s">
        <v>2574</v>
      </c>
      <c r="F400" s="9">
        <v>46118</v>
      </c>
      <c r="G400" s="9">
        <v>46091</v>
      </c>
      <c r="H400" s="8">
        <v>113.09</v>
      </c>
      <c r="I400" s="8">
        <v>18.600000000000001</v>
      </c>
      <c r="J400" s="9">
        <v>46091</v>
      </c>
      <c r="K400" s="2" t="s">
        <v>3631</v>
      </c>
      <c r="L400" s="2" t="s">
        <v>17</v>
      </c>
    </row>
    <row r="401" spans="1:12">
      <c r="A401" s="14" t="s">
        <v>3632</v>
      </c>
      <c r="B401" s="2" t="s">
        <v>3633</v>
      </c>
      <c r="C401" s="2" t="s">
        <v>14</v>
      </c>
      <c r="D401" s="2" t="s">
        <v>15</v>
      </c>
      <c r="E401" s="2" t="s">
        <v>55</v>
      </c>
      <c r="F401" s="9">
        <v>46120</v>
      </c>
      <c r="G401" s="9">
        <v>46091</v>
      </c>
      <c r="H401" s="8">
        <v>100.97</v>
      </c>
      <c r="I401" s="8">
        <v>25</v>
      </c>
      <c r="J401" s="9">
        <v>46123</v>
      </c>
      <c r="K401" s="2" t="s">
        <v>3634</v>
      </c>
      <c r="L401" s="2" t="s">
        <v>17</v>
      </c>
    </row>
    <row r="402" spans="1:12">
      <c r="A402" s="14" t="s">
        <v>2725</v>
      </c>
      <c r="B402" s="2" t="s">
        <v>2726</v>
      </c>
      <c r="C402" s="2" t="s">
        <v>14</v>
      </c>
      <c r="D402" s="2" t="s">
        <v>15</v>
      </c>
      <c r="E402" s="2" t="s">
        <v>58</v>
      </c>
      <c r="F402" s="9">
        <v>46120</v>
      </c>
      <c r="G402" s="9">
        <v>46091</v>
      </c>
      <c r="H402" s="8">
        <v>109.99</v>
      </c>
      <c r="I402" s="8">
        <v>40</v>
      </c>
      <c r="J402" s="9">
        <v>46123</v>
      </c>
      <c r="K402" s="2" t="s">
        <v>3635</v>
      </c>
      <c r="L402" s="2" t="s">
        <v>17</v>
      </c>
    </row>
    <row r="403" spans="1:12">
      <c r="A403" s="14" t="s">
        <v>3636</v>
      </c>
      <c r="B403" s="2" t="s">
        <v>3637</v>
      </c>
      <c r="C403" s="2" t="s">
        <v>14</v>
      </c>
      <c r="D403" s="2" t="s">
        <v>15</v>
      </c>
      <c r="E403" s="2" t="s">
        <v>3638</v>
      </c>
      <c r="F403" s="9">
        <v>46139</v>
      </c>
      <c r="G403" s="9">
        <v>46091</v>
      </c>
      <c r="H403" s="8">
        <v>99.99</v>
      </c>
      <c r="I403" s="8">
        <v>40.4</v>
      </c>
      <c r="J403" s="9">
        <v>46140</v>
      </c>
      <c r="K403" s="2" t="s">
        <v>3639</v>
      </c>
      <c r="L403" s="2" t="s">
        <v>17</v>
      </c>
    </row>
    <row r="404" spans="1:12">
      <c r="A404" s="14" t="s">
        <v>135</v>
      </c>
      <c r="B404" s="2" t="s">
        <v>136</v>
      </c>
      <c r="C404" s="2" t="s">
        <v>14</v>
      </c>
      <c r="D404" s="2" t="s">
        <v>15</v>
      </c>
      <c r="E404" s="2" t="s">
        <v>23</v>
      </c>
      <c r="F404" s="9">
        <v>46119</v>
      </c>
      <c r="G404" s="9">
        <v>46091</v>
      </c>
      <c r="H404" s="8">
        <v>119.99</v>
      </c>
      <c r="I404" s="8">
        <v>24.39</v>
      </c>
      <c r="J404" s="9">
        <v>46122</v>
      </c>
      <c r="K404" s="2" t="s">
        <v>3640</v>
      </c>
      <c r="L404" s="2" t="s">
        <v>17</v>
      </c>
    </row>
    <row r="405" spans="1:12">
      <c r="A405" s="14" t="s">
        <v>3641</v>
      </c>
      <c r="B405" s="2" t="s">
        <v>3642</v>
      </c>
      <c r="C405" s="2" t="s">
        <v>14</v>
      </c>
      <c r="D405" s="2" t="s">
        <v>15</v>
      </c>
      <c r="E405" s="2" t="s">
        <v>2742</v>
      </c>
      <c r="F405" s="9">
        <v>46118</v>
      </c>
      <c r="G405" s="9">
        <v>46091</v>
      </c>
      <c r="H405" s="8">
        <v>110.83</v>
      </c>
      <c r="I405" s="8">
        <v>28.78</v>
      </c>
      <c r="J405" s="9">
        <v>46122</v>
      </c>
      <c r="K405" s="2" t="s">
        <v>3643</v>
      </c>
      <c r="L405" s="2" t="s">
        <v>17</v>
      </c>
    </row>
    <row r="406" spans="1:12">
      <c r="A406" s="14" t="s">
        <v>1743</v>
      </c>
      <c r="B406" s="2" t="s">
        <v>1744</v>
      </c>
      <c r="C406" s="2" t="s">
        <v>14</v>
      </c>
      <c r="D406" s="2" t="s">
        <v>15</v>
      </c>
      <c r="E406" s="2" t="s">
        <v>55</v>
      </c>
      <c r="F406" s="9">
        <v>46120</v>
      </c>
      <c r="G406" s="9">
        <v>46091</v>
      </c>
      <c r="H406" s="8">
        <v>77.47</v>
      </c>
      <c r="I406" s="8">
        <v>15.95</v>
      </c>
      <c r="J406" s="9">
        <v>46124</v>
      </c>
      <c r="K406" s="2" t="s">
        <v>3644</v>
      </c>
      <c r="L406" s="2" t="s">
        <v>17</v>
      </c>
    </row>
    <row r="407" spans="1:12">
      <c r="A407" s="14" t="s">
        <v>164</v>
      </c>
      <c r="B407" s="2" t="s">
        <v>165</v>
      </c>
      <c r="C407" s="2" t="s">
        <v>14</v>
      </c>
      <c r="D407" s="2" t="s">
        <v>15</v>
      </c>
      <c r="E407" s="2" t="s">
        <v>55</v>
      </c>
      <c r="F407" s="9">
        <v>46119</v>
      </c>
      <c r="G407" s="9">
        <v>46091</v>
      </c>
      <c r="H407" s="8">
        <v>109.99</v>
      </c>
      <c r="I407" s="8">
        <v>44.62</v>
      </c>
      <c r="J407" s="9">
        <v>46124</v>
      </c>
      <c r="K407" s="2" t="s">
        <v>3645</v>
      </c>
      <c r="L407" s="2" t="s">
        <v>17</v>
      </c>
    </row>
    <row r="408" spans="1:12">
      <c r="A408" s="14" t="s">
        <v>3646</v>
      </c>
      <c r="B408" s="2" t="s">
        <v>3647</v>
      </c>
      <c r="C408" s="2" t="s">
        <v>14</v>
      </c>
      <c r="D408" s="2" t="s">
        <v>15</v>
      </c>
      <c r="E408" s="2" t="s">
        <v>3648</v>
      </c>
      <c r="F408" s="9">
        <v>46119</v>
      </c>
      <c r="G408" s="9">
        <v>46091</v>
      </c>
      <c r="H408" s="8">
        <v>109.99</v>
      </c>
      <c r="I408" s="8">
        <v>22.64</v>
      </c>
      <c r="J408" s="9">
        <v>46123</v>
      </c>
      <c r="K408" s="2" t="s">
        <v>3649</v>
      </c>
      <c r="L408" s="2" t="s">
        <v>17</v>
      </c>
    </row>
    <row r="409" spans="1:12">
      <c r="A409" s="14" t="s">
        <v>3650</v>
      </c>
      <c r="B409" s="2" t="s">
        <v>3651</v>
      </c>
      <c r="C409" s="2" t="s">
        <v>14</v>
      </c>
      <c r="D409" s="2" t="s">
        <v>15</v>
      </c>
      <c r="E409" s="2" t="s">
        <v>55</v>
      </c>
      <c r="F409" s="9">
        <v>46118</v>
      </c>
      <c r="G409" s="9">
        <v>46091</v>
      </c>
      <c r="H409" s="8">
        <v>109.99</v>
      </c>
      <c r="I409" s="8">
        <v>50</v>
      </c>
      <c r="J409" s="9">
        <v>46122</v>
      </c>
      <c r="K409" s="2" t="s">
        <v>3652</v>
      </c>
      <c r="L409" s="2" t="s">
        <v>17</v>
      </c>
    </row>
    <row r="410" spans="1:12">
      <c r="A410" s="14" t="s">
        <v>3653</v>
      </c>
      <c r="B410" s="2" t="s">
        <v>3654</v>
      </c>
      <c r="C410" s="2" t="s">
        <v>14</v>
      </c>
      <c r="D410" s="2" t="s">
        <v>15</v>
      </c>
      <c r="E410" s="2" t="s">
        <v>58</v>
      </c>
      <c r="F410" s="9">
        <v>46119</v>
      </c>
      <c r="G410" s="9">
        <v>46091</v>
      </c>
      <c r="H410" s="8">
        <v>95.83</v>
      </c>
      <c r="I410" s="8">
        <v>41.6</v>
      </c>
      <c r="J410" s="9">
        <v>46123</v>
      </c>
      <c r="K410" s="2" t="s">
        <v>3655</v>
      </c>
      <c r="L410" s="2" t="s">
        <v>17</v>
      </c>
    </row>
    <row r="411" spans="1:12">
      <c r="A411" s="14" t="s">
        <v>3656</v>
      </c>
      <c r="B411" s="2" t="s">
        <v>3657</v>
      </c>
      <c r="C411" s="2" t="s">
        <v>14</v>
      </c>
      <c r="D411" s="2" t="s">
        <v>15</v>
      </c>
      <c r="E411" s="2" t="s">
        <v>55</v>
      </c>
      <c r="F411" s="9">
        <v>46126</v>
      </c>
      <c r="G411" s="9">
        <v>46091</v>
      </c>
      <c r="H411" s="8">
        <v>71.28</v>
      </c>
      <c r="I411" s="8">
        <v>14.7</v>
      </c>
      <c r="J411" s="9">
        <v>46130</v>
      </c>
      <c r="K411" s="2" t="s">
        <v>3658</v>
      </c>
      <c r="L411" s="2" t="s">
        <v>17</v>
      </c>
    </row>
    <row r="412" spans="1:12">
      <c r="A412" s="14" t="s">
        <v>3659</v>
      </c>
      <c r="B412" s="2" t="s">
        <v>3660</v>
      </c>
      <c r="C412" s="2" t="s">
        <v>14</v>
      </c>
      <c r="D412" s="2" t="s">
        <v>15</v>
      </c>
      <c r="E412" s="2" t="s">
        <v>2633</v>
      </c>
      <c r="F412" s="9">
        <v>46121</v>
      </c>
      <c r="G412" s="9">
        <v>46091</v>
      </c>
      <c r="H412" s="8">
        <v>112.81</v>
      </c>
      <c r="I412" s="8">
        <v>23.24</v>
      </c>
      <c r="J412" s="9">
        <v>46125</v>
      </c>
      <c r="K412" s="2" t="s">
        <v>3661</v>
      </c>
      <c r="L412" s="2" t="s">
        <v>17</v>
      </c>
    </row>
    <row r="413" spans="1:12">
      <c r="A413" s="14" t="s">
        <v>2705</v>
      </c>
      <c r="B413" s="2" t="s">
        <v>2706</v>
      </c>
      <c r="C413" s="2" t="s">
        <v>14</v>
      </c>
      <c r="D413" s="2" t="s">
        <v>15</v>
      </c>
      <c r="E413" s="2" t="s">
        <v>55</v>
      </c>
      <c r="F413" s="9">
        <v>46119</v>
      </c>
      <c r="G413" s="9">
        <v>46091</v>
      </c>
      <c r="H413" s="8">
        <v>101.28</v>
      </c>
      <c r="I413" s="8">
        <v>37.340000000000003</v>
      </c>
      <c r="J413" s="9">
        <v>46124</v>
      </c>
      <c r="K413" s="2" t="s">
        <v>3662</v>
      </c>
      <c r="L413" s="2" t="s">
        <v>17</v>
      </c>
    </row>
    <row r="414" spans="1:12">
      <c r="A414" s="14" t="s">
        <v>2259</v>
      </c>
      <c r="B414" s="2" t="s">
        <v>3663</v>
      </c>
      <c r="C414" s="2" t="s">
        <v>14</v>
      </c>
      <c r="D414" s="2" t="s">
        <v>15</v>
      </c>
      <c r="E414" s="2" t="s">
        <v>16</v>
      </c>
      <c r="F414" s="9">
        <v>46118</v>
      </c>
      <c r="G414" s="9">
        <v>46091</v>
      </c>
      <c r="H414" s="8">
        <v>8.44</v>
      </c>
      <c r="I414" s="8"/>
      <c r="J414" s="9"/>
      <c r="K414" s="2"/>
      <c r="L414" s="2" t="s">
        <v>17</v>
      </c>
    </row>
    <row r="415" spans="1:12">
      <c r="A415" s="14" t="s">
        <v>3664</v>
      </c>
      <c r="B415" s="27" t="s">
        <v>3665</v>
      </c>
      <c r="C415" s="2" t="s">
        <v>14</v>
      </c>
      <c r="D415" s="2" t="s">
        <v>15</v>
      </c>
      <c r="E415" s="2" t="s">
        <v>16</v>
      </c>
      <c r="F415" s="9">
        <v>46122</v>
      </c>
      <c r="G415" s="9">
        <v>46091</v>
      </c>
      <c r="H415" s="8">
        <v>46.18</v>
      </c>
      <c r="I415" s="8"/>
      <c r="J415" s="9"/>
      <c r="K415" s="2"/>
      <c r="L415" s="2" t="s">
        <v>17</v>
      </c>
    </row>
    <row r="416" spans="1:12">
      <c r="A416" s="14" t="s">
        <v>3666</v>
      </c>
      <c r="B416" s="2" t="s">
        <v>3667</v>
      </c>
      <c r="C416" s="2" t="s">
        <v>14</v>
      </c>
      <c r="D416" s="2" t="s">
        <v>15</v>
      </c>
      <c r="E416" s="2" t="s">
        <v>2574</v>
      </c>
      <c r="F416" s="9">
        <v>46126</v>
      </c>
      <c r="G416" s="9">
        <v>46091</v>
      </c>
      <c r="H416" s="8">
        <v>119.99</v>
      </c>
      <c r="I416" s="8">
        <v>69.930000000000007</v>
      </c>
      <c r="J416" s="9">
        <v>46098</v>
      </c>
      <c r="K416" s="2" t="s">
        <v>3668</v>
      </c>
      <c r="L416" s="2" t="s">
        <v>17</v>
      </c>
    </row>
    <row r="417" spans="1:12">
      <c r="A417" s="14" t="s">
        <v>2714</v>
      </c>
      <c r="B417" s="2" t="s">
        <v>2715</v>
      </c>
      <c r="C417" s="2" t="s">
        <v>14</v>
      </c>
      <c r="D417" s="2" t="s">
        <v>15</v>
      </c>
      <c r="E417" s="2" t="s">
        <v>55</v>
      </c>
      <c r="F417" s="9">
        <v>46119</v>
      </c>
      <c r="G417" s="9">
        <v>46091</v>
      </c>
      <c r="H417" s="8">
        <v>109.99</v>
      </c>
      <c r="I417" s="8">
        <v>41.05</v>
      </c>
      <c r="J417" s="9">
        <v>46122</v>
      </c>
      <c r="K417" s="2" t="s">
        <v>3669</v>
      </c>
      <c r="L417" s="2" t="s">
        <v>17</v>
      </c>
    </row>
    <row r="418" spans="1:12">
      <c r="A418" s="14" t="s">
        <v>3670</v>
      </c>
      <c r="B418" s="2" t="s">
        <v>3671</v>
      </c>
      <c r="C418" s="2" t="s">
        <v>14</v>
      </c>
      <c r="D418" s="2" t="s">
        <v>15</v>
      </c>
      <c r="E418" s="2" t="s">
        <v>2851</v>
      </c>
      <c r="F418" s="9">
        <v>46120</v>
      </c>
      <c r="G418" s="9">
        <v>46091</v>
      </c>
      <c r="H418" s="8">
        <v>99.99</v>
      </c>
      <c r="I418" s="8">
        <v>50</v>
      </c>
      <c r="J418" s="9">
        <v>46122</v>
      </c>
      <c r="K418" s="2" t="s">
        <v>3672</v>
      </c>
      <c r="L418" s="2" t="s">
        <v>17</v>
      </c>
    </row>
    <row r="419" spans="1:12">
      <c r="A419" s="14" t="s">
        <v>1772</v>
      </c>
      <c r="B419" s="2" t="s">
        <v>1773</v>
      </c>
      <c r="C419" s="2" t="s">
        <v>14</v>
      </c>
      <c r="D419" s="2" t="s">
        <v>15</v>
      </c>
      <c r="E419" s="2" t="s">
        <v>55</v>
      </c>
      <c r="F419" s="9">
        <v>46119</v>
      </c>
      <c r="G419" s="9">
        <v>46091</v>
      </c>
      <c r="H419" s="8">
        <v>61.96</v>
      </c>
      <c r="I419" s="8">
        <v>12.75</v>
      </c>
      <c r="J419" s="9">
        <v>46123</v>
      </c>
      <c r="K419" s="2" t="s">
        <v>3673</v>
      </c>
      <c r="L419" s="2" t="s">
        <v>17</v>
      </c>
    </row>
    <row r="420" spans="1:12">
      <c r="A420" s="14" t="s">
        <v>2717</v>
      </c>
      <c r="B420" s="2" t="s">
        <v>2718</v>
      </c>
      <c r="C420" s="2" t="s">
        <v>14</v>
      </c>
      <c r="D420" s="2" t="s">
        <v>15</v>
      </c>
      <c r="E420" s="2" t="s">
        <v>2633</v>
      </c>
      <c r="F420" s="9">
        <v>46121</v>
      </c>
      <c r="G420" s="9">
        <v>46091</v>
      </c>
      <c r="H420" s="8">
        <v>109.99</v>
      </c>
      <c r="I420" s="8">
        <v>25</v>
      </c>
      <c r="J420" s="9">
        <v>46125</v>
      </c>
      <c r="K420" s="2" t="s">
        <v>3674</v>
      </c>
      <c r="L420" s="2" t="s">
        <v>17</v>
      </c>
    </row>
    <row r="421" spans="1:12">
      <c r="A421" s="14" t="s">
        <v>157</v>
      </c>
      <c r="B421" s="2" t="s">
        <v>158</v>
      </c>
      <c r="C421" s="2" t="s">
        <v>14</v>
      </c>
      <c r="D421" s="2" t="s">
        <v>15</v>
      </c>
      <c r="E421" s="2" t="s">
        <v>3638</v>
      </c>
      <c r="F421" s="9">
        <v>46129</v>
      </c>
      <c r="G421" s="9">
        <v>46091</v>
      </c>
      <c r="H421" s="8">
        <v>109.99</v>
      </c>
      <c r="I421" s="8">
        <v>22.59</v>
      </c>
      <c r="J421" s="9">
        <v>46132</v>
      </c>
      <c r="K421" s="2" t="s">
        <v>3675</v>
      </c>
      <c r="L421" s="2" t="s">
        <v>17</v>
      </c>
    </row>
    <row r="422" spans="1:12">
      <c r="A422" s="14" t="s">
        <v>3676</v>
      </c>
      <c r="B422" s="2" t="s">
        <v>3677</v>
      </c>
      <c r="C422" s="2" t="s">
        <v>14</v>
      </c>
      <c r="D422" s="2" t="s">
        <v>15</v>
      </c>
      <c r="E422" s="2" t="s">
        <v>80</v>
      </c>
      <c r="F422" s="9">
        <v>46119</v>
      </c>
      <c r="G422" s="9">
        <v>46091</v>
      </c>
      <c r="H422" s="8">
        <v>101.15</v>
      </c>
      <c r="I422" s="8">
        <v>30</v>
      </c>
      <c r="J422" s="9">
        <v>46122</v>
      </c>
      <c r="K422" s="2" t="s">
        <v>3678</v>
      </c>
      <c r="L422" s="2" t="s">
        <v>17</v>
      </c>
    </row>
    <row r="423" spans="1:12">
      <c r="A423" s="14" t="s">
        <v>3679</v>
      </c>
      <c r="B423" s="2" t="s">
        <v>3680</v>
      </c>
      <c r="C423" s="2" t="s">
        <v>14</v>
      </c>
      <c r="D423" s="2" t="s">
        <v>15</v>
      </c>
      <c r="E423" s="2" t="s">
        <v>16</v>
      </c>
      <c r="F423" s="9">
        <v>46122</v>
      </c>
      <c r="G423" s="9">
        <v>46091</v>
      </c>
      <c r="H423" s="8">
        <v>7.11</v>
      </c>
      <c r="I423" s="8"/>
      <c r="J423" s="9"/>
      <c r="K423" s="2"/>
      <c r="L423" s="2" t="s">
        <v>17</v>
      </c>
    </row>
    <row r="424" spans="1:12">
      <c r="A424" s="14" t="s">
        <v>2744</v>
      </c>
      <c r="B424" s="2" t="s">
        <v>2745</v>
      </c>
      <c r="C424" s="2" t="s">
        <v>14</v>
      </c>
      <c r="D424" s="2" t="s">
        <v>15</v>
      </c>
      <c r="E424" s="2" t="s">
        <v>55</v>
      </c>
      <c r="F424" s="9">
        <v>46121</v>
      </c>
      <c r="G424" s="9">
        <v>46091</v>
      </c>
      <c r="H424" s="8">
        <v>99.99</v>
      </c>
      <c r="I424" s="8">
        <v>62.07</v>
      </c>
      <c r="J424" s="9">
        <v>46126</v>
      </c>
      <c r="K424" s="2" t="s">
        <v>3681</v>
      </c>
      <c r="L424" s="2" t="s">
        <v>17</v>
      </c>
    </row>
    <row r="425" spans="1:12">
      <c r="A425" s="14" t="s">
        <v>3682</v>
      </c>
      <c r="B425" s="2" t="s">
        <v>3683</v>
      </c>
      <c r="C425" s="2" t="s">
        <v>14</v>
      </c>
      <c r="D425" s="2" t="s">
        <v>15</v>
      </c>
      <c r="E425" s="2" t="s">
        <v>3342</v>
      </c>
      <c r="F425" s="9">
        <v>46121</v>
      </c>
      <c r="G425" s="9">
        <v>46091</v>
      </c>
      <c r="H425" s="8">
        <v>109.99</v>
      </c>
      <c r="I425" s="8">
        <v>22.16</v>
      </c>
      <c r="J425" s="9">
        <v>46125</v>
      </c>
      <c r="K425" s="2" t="s">
        <v>3684</v>
      </c>
      <c r="L425" s="2" t="s">
        <v>17</v>
      </c>
    </row>
    <row r="426" spans="1:12">
      <c r="A426" s="14" t="s">
        <v>3685</v>
      </c>
      <c r="B426" s="2" t="s">
        <v>3686</v>
      </c>
      <c r="C426" s="2" t="s">
        <v>14</v>
      </c>
      <c r="D426" s="2" t="s">
        <v>15</v>
      </c>
      <c r="E426" s="2" t="s">
        <v>2851</v>
      </c>
      <c r="F426" s="9">
        <v>46121</v>
      </c>
      <c r="G426" s="9">
        <v>46091</v>
      </c>
      <c r="H426" s="8">
        <v>130.44</v>
      </c>
      <c r="I426" s="8">
        <v>26.87</v>
      </c>
      <c r="J426" s="9">
        <v>46124</v>
      </c>
      <c r="K426" s="2" t="s">
        <v>3222</v>
      </c>
      <c r="L426" s="2" t="s">
        <v>17</v>
      </c>
    </row>
    <row r="427" spans="1:12">
      <c r="A427" s="14" t="s">
        <v>2722</v>
      </c>
      <c r="B427" s="2" t="s">
        <v>2723</v>
      </c>
      <c r="C427" s="2" t="s">
        <v>14</v>
      </c>
      <c r="D427" s="2" t="s">
        <v>15</v>
      </c>
      <c r="E427" s="2" t="s">
        <v>3064</v>
      </c>
      <c r="F427" s="9">
        <v>46122</v>
      </c>
      <c r="G427" s="9">
        <v>46091</v>
      </c>
      <c r="H427" s="8">
        <v>100.92</v>
      </c>
      <c r="I427" s="8">
        <v>28.46</v>
      </c>
      <c r="J427" s="9">
        <v>46126</v>
      </c>
      <c r="K427" s="2" t="s">
        <v>3687</v>
      </c>
      <c r="L427" s="2" t="s">
        <v>17</v>
      </c>
    </row>
    <row r="428" spans="1:12">
      <c r="A428" s="14" t="s">
        <v>160</v>
      </c>
      <c r="B428" s="2" t="s">
        <v>161</v>
      </c>
      <c r="C428" s="2" t="s">
        <v>14</v>
      </c>
      <c r="D428" s="2" t="s">
        <v>15</v>
      </c>
      <c r="E428" s="2" t="s">
        <v>2574</v>
      </c>
      <c r="F428" s="9">
        <v>46126</v>
      </c>
      <c r="G428" s="9">
        <v>46091</v>
      </c>
      <c r="H428" s="8">
        <v>95.83</v>
      </c>
      <c r="I428" s="8">
        <v>40.17</v>
      </c>
      <c r="J428" s="9">
        <v>46098</v>
      </c>
      <c r="K428" s="2" t="s">
        <v>3688</v>
      </c>
      <c r="L428" s="2" t="s">
        <v>17</v>
      </c>
    </row>
    <row r="429" spans="1:12">
      <c r="A429" s="14" t="s">
        <v>3689</v>
      </c>
      <c r="B429" s="2" t="s">
        <v>3690</v>
      </c>
      <c r="C429" s="2" t="s">
        <v>14</v>
      </c>
      <c r="D429" s="2" t="s">
        <v>15</v>
      </c>
      <c r="E429" s="2" t="s">
        <v>23</v>
      </c>
      <c r="F429" s="9">
        <v>46134</v>
      </c>
      <c r="G429" s="9">
        <v>46091</v>
      </c>
      <c r="H429" s="8">
        <v>99.99</v>
      </c>
      <c r="I429" s="8">
        <v>25.82</v>
      </c>
      <c r="J429" s="9">
        <v>46138</v>
      </c>
      <c r="K429" s="2" t="s">
        <v>3691</v>
      </c>
      <c r="L429" s="2" t="s">
        <v>17</v>
      </c>
    </row>
    <row r="430" spans="1:12">
      <c r="A430" s="14" t="s">
        <v>121</v>
      </c>
      <c r="B430" s="2" t="s">
        <v>122</v>
      </c>
      <c r="C430" s="2" t="s">
        <v>14</v>
      </c>
      <c r="D430" s="2" t="s">
        <v>15</v>
      </c>
      <c r="E430" s="2" t="s">
        <v>2742</v>
      </c>
      <c r="F430" s="9">
        <v>46126</v>
      </c>
      <c r="G430" s="9">
        <v>46091</v>
      </c>
      <c r="H430" s="8">
        <v>78.099999999999994</v>
      </c>
      <c r="I430" s="8">
        <v>30</v>
      </c>
      <c r="J430" s="9">
        <v>46130</v>
      </c>
      <c r="K430" s="2" t="s">
        <v>3692</v>
      </c>
      <c r="L430" s="2" t="s">
        <v>17</v>
      </c>
    </row>
    <row r="431" spans="1:12">
      <c r="A431" s="14" t="s">
        <v>2758</v>
      </c>
      <c r="B431" s="2" t="s">
        <v>2759</v>
      </c>
      <c r="C431" s="2" t="s">
        <v>14</v>
      </c>
      <c r="D431" s="2" t="s">
        <v>15</v>
      </c>
      <c r="E431" s="2" t="s">
        <v>55</v>
      </c>
      <c r="F431" s="9">
        <v>46126</v>
      </c>
      <c r="G431" s="9">
        <v>46091</v>
      </c>
      <c r="H431" s="8">
        <v>109.99</v>
      </c>
      <c r="I431" s="8">
        <v>29.35</v>
      </c>
      <c r="J431" s="9">
        <v>46130</v>
      </c>
      <c r="K431" s="2" t="s">
        <v>3693</v>
      </c>
      <c r="L431" s="2" t="s">
        <v>17</v>
      </c>
    </row>
    <row r="432" spans="1:12">
      <c r="A432" s="14" t="s">
        <v>3694</v>
      </c>
      <c r="B432" s="2" t="s">
        <v>3695</v>
      </c>
      <c r="C432" s="2" t="s">
        <v>14</v>
      </c>
      <c r="D432" s="2" t="s">
        <v>15</v>
      </c>
      <c r="E432" s="2" t="s">
        <v>55</v>
      </c>
      <c r="F432" s="9">
        <v>46126</v>
      </c>
      <c r="G432" s="9">
        <v>46091</v>
      </c>
      <c r="H432" s="8">
        <v>109.99</v>
      </c>
      <c r="I432" s="8">
        <v>30.13</v>
      </c>
      <c r="J432" s="9">
        <v>46130</v>
      </c>
      <c r="K432" s="2" t="s">
        <v>3696</v>
      </c>
      <c r="L432" s="2" t="s">
        <v>17</v>
      </c>
    </row>
    <row r="433" spans="1:12">
      <c r="A433" s="14" t="s">
        <v>3697</v>
      </c>
      <c r="B433" s="2" t="s">
        <v>3698</v>
      </c>
      <c r="C433" s="2" t="s">
        <v>14</v>
      </c>
      <c r="D433" s="2" t="s">
        <v>15</v>
      </c>
      <c r="E433" s="2" t="s">
        <v>2574</v>
      </c>
      <c r="F433" s="9">
        <v>46126</v>
      </c>
      <c r="G433" s="9">
        <v>46091</v>
      </c>
      <c r="H433" s="8">
        <v>110.5</v>
      </c>
      <c r="I433" s="8">
        <v>30.83</v>
      </c>
      <c r="J433" s="9">
        <v>46128</v>
      </c>
      <c r="K433" s="2" t="s">
        <v>3699</v>
      </c>
      <c r="L433" s="2" t="s">
        <v>17</v>
      </c>
    </row>
    <row r="434" spans="1:12">
      <c r="A434" s="14" t="s">
        <v>2790</v>
      </c>
      <c r="B434" s="2" t="s">
        <v>2791</v>
      </c>
      <c r="C434" s="2" t="s">
        <v>14</v>
      </c>
      <c r="D434" s="2" t="s">
        <v>15</v>
      </c>
      <c r="E434" s="2" t="s">
        <v>2703</v>
      </c>
      <c r="F434" s="9">
        <v>46126</v>
      </c>
      <c r="G434" s="9">
        <v>46091</v>
      </c>
      <c r="H434" s="8">
        <v>99.99</v>
      </c>
      <c r="I434" s="8">
        <v>34.549999999999997</v>
      </c>
      <c r="J434" s="9">
        <v>46130</v>
      </c>
      <c r="K434" s="2" t="s">
        <v>3700</v>
      </c>
      <c r="L434" s="2" t="s">
        <v>17</v>
      </c>
    </row>
    <row r="435" spans="1:12">
      <c r="A435" s="14" t="s">
        <v>227</v>
      </c>
      <c r="B435" s="2" t="s">
        <v>228</v>
      </c>
      <c r="C435" s="2" t="s">
        <v>14</v>
      </c>
      <c r="D435" s="2" t="s">
        <v>15</v>
      </c>
      <c r="E435" s="2" t="s">
        <v>16</v>
      </c>
      <c r="F435" s="9">
        <v>46122</v>
      </c>
      <c r="G435" s="9">
        <v>46091</v>
      </c>
      <c r="H435" s="8">
        <v>19.37</v>
      </c>
      <c r="I435" s="8"/>
      <c r="J435" s="9"/>
      <c r="K435" s="2"/>
      <c r="L435" s="2" t="s">
        <v>17</v>
      </c>
    </row>
    <row r="436" spans="1:12">
      <c r="A436" s="14" t="s">
        <v>3701</v>
      </c>
      <c r="B436" s="2" t="s">
        <v>3702</v>
      </c>
      <c r="C436" s="2" t="s">
        <v>14</v>
      </c>
      <c r="D436" s="2" t="s">
        <v>15</v>
      </c>
      <c r="E436" s="2" t="s">
        <v>2851</v>
      </c>
      <c r="F436" s="9">
        <v>46120</v>
      </c>
      <c r="G436" s="9">
        <v>46091</v>
      </c>
      <c r="H436" s="8">
        <v>109.99</v>
      </c>
      <c r="I436" s="8">
        <v>20</v>
      </c>
      <c r="J436" s="9">
        <v>46123</v>
      </c>
      <c r="K436" s="2" t="s">
        <v>3703</v>
      </c>
      <c r="L436" s="2" t="s">
        <v>17</v>
      </c>
    </row>
    <row r="437" spans="1:12">
      <c r="A437" s="14" t="s">
        <v>3704</v>
      </c>
      <c r="B437" s="2" t="s">
        <v>3705</v>
      </c>
      <c r="C437" s="2" t="s">
        <v>14</v>
      </c>
      <c r="D437" s="2" t="s">
        <v>15</v>
      </c>
      <c r="E437" s="2" t="s">
        <v>55</v>
      </c>
      <c r="F437" s="9">
        <v>46120</v>
      </c>
      <c r="G437" s="9">
        <v>46091</v>
      </c>
      <c r="H437" s="8">
        <v>101.1</v>
      </c>
      <c r="I437" s="8">
        <v>25</v>
      </c>
      <c r="J437" s="9">
        <v>46123</v>
      </c>
      <c r="K437" s="2" t="s">
        <v>3706</v>
      </c>
      <c r="L437" s="2" t="s">
        <v>17</v>
      </c>
    </row>
    <row r="438" spans="1:12">
      <c r="A438" s="14" t="s">
        <v>3707</v>
      </c>
      <c r="B438" s="2" t="s">
        <v>3708</v>
      </c>
      <c r="C438" s="2" t="s">
        <v>14</v>
      </c>
      <c r="D438" s="2" t="s">
        <v>15</v>
      </c>
      <c r="E438" s="2" t="s">
        <v>2574</v>
      </c>
      <c r="F438" s="9">
        <v>46127</v>
      </c>
      <c r="G438" s="9">
        <v>46091</v>
      </c>
      <c r="H438" s="8">
        <v>99.99</v>
      </c>
      <c r="I438" s="8">
        <v>29.02</v>
      </c>
      <c r="J438" s="9">
        <v>46100</v>
      </c>
      <c r="K438" s="2" t="s">
        <v>3709</v>
      </c>
      <c r="L438" s="2" t="s">
        <v>17</v>
      </c>
    </row>
    <row r="439" spans="1:12">
      <c r="A439" s="14" t="s">
        <v>1608</v>
      </c>
      <c r="B439" s="2" t="s">
        <v>1609</v>
      </c>
      <c r="C439" s="2" t="s">
        <v>14</v>
      </c>
      <c r="D439" s="2" t="s">
        <v>15</v>
      </c>
      <c r="E439" s="2" t="s">
        <v>16</v>
      </c>
      <c r="F439" s="9">
        <v>46122</v>
      </c>
      <c r="G439" s="9">
        <v>46091</v>
      </c>
      <c r="H439" s="8">
        <v>49.69</v>
      </c>
      <c r="I439" s="8"/>
      <c r="J439" s="9"/>
      <c r="K439" s="2"/>
      <c r="L439" s="2" t="s">
        <v>17</v>
      </c>
    </row>
    <row r="440" spans="1:12">
      <c r="A440" s="14" t="s">
        <v>3710</v>
      </c>
      <c r="B440" s="2" t="s">
        <v>3711</v>
      </c>
      <c r="C440" s="2" t="s">
        <v>14</v>
      </c>
      <c r="D440" s="2" t="s">
        <v>15</v>
      </c>
      <c r="E440" s="2" t="s">
        <v>58</v>
      </c>
      <c r="F440" s="9">
        <v>46120</v>
      </c>
      <c r="G440" s="9">
        <v>46091</v>
      </c>
      <c r="H440" s="8">
        <v>100.29</v>
      </c>
      <c r="I440" s="8">
        <v>41.15</v>
      </c>
      <c r="J440" s="9">
        <v>46124</v>
      </c>
      <c r="K440" s="2" t="s">
        <v>3712</v>
      </c>
      <c r="L440" s="2" t="s">
        <v>17</v>
      </c>
    </row>
    <row r="441" spans="1:12">
      <c r="A441" s="14" t="s">
        <v>2786</v>
      </c>
      <c r="B441" s="2" t="s">
        <v>2787</v>
      </c>
      <c r="C441" s="2" t="s">
        <v>14</v>
      </c>
      <c r="D441" s="2" t="s">
        <v>15</v>
      </c>
      <c r="E441" s="2" t="s">
        <v>55</v>
      </c>
      <c r="F441" s="9">
        <v>46120</v>
      </c>
      <c r="G441" s="9">
        <v>46091</v>
      </c>
      <c r="H441" s="8">
        <v>70.12</v>
      </c>
      <c r="I441" s="8">
        <v>35.01</v>
      </c>
      <c r="J441" s="9">
        <v>46125</v>
      </c>
      <c r="K441" s="2" t="s">
        <v>3713</v>
      </c>
      <c r="L441" s="2" t="s">
        <v>17</v>
      </c>
    </row>
    <row r="442" spans="1:12">
      <c r="A442" s="14" t="s">
        <v>3714</v>
      </c>
      <c r="B442" s="2" t="s">
        <v>3715</v>
      </c>
      <c r="C442" s="2" t="s">
        <v>14</v>
      </c>
      <c r="D442" s="2" t="s">
        <v>15</v>
      </c>
      <c r="E442" s="2" t="s">
        <v>58</v>
      </c>
      <c r="F442" s="9">
        <v>46120</v>
      </c>
      <c r="G442" s="9">
        <v>46091</v>
      </c>
      <c r="H442" s="8">
        <v>70.12</v>
      </c>
      <c r="I442" s="8">
        <v>20.85</v>
      </c>
      <c r="J442" s="9">
        <v>46123</v>
      </c>
      <c r="K442" s="2" t="s">
        <v>3716</v>
      </c>
      <c r="L442" s="2" t="s">
        <v>17</v>
      </c>
    </row>
    <row r="443" spans="1:12">
      <c r="A443" s="14" t="s">
        <v>3717</v>
      </c>
      <c r="B443" s="2" t="s">
        <v>3718</v>
      </c>
      <c r="C443" s="2" t="s">
        <v>14</v>
      </c>
      <c r="D443" s="2" t="s">
        <v>15</v>
      </c>
      <c r="E443" s="2" t="s">
        <v>3638</v>
      </c>
      <c r="F443" s="9">
        <v>46128</v>
      </c>
      <c r="G443" s="9">
        <v>46091</v>
      </c>
      <c r="H443" s="8">
        <v>111.88</v>
      </c>
      <c r="I443" s="8">
        <v>25</v>
      </c>
      <c r="J443" s="9">
        <v>46132</v>
      </c>
      <c r="K443" s="2" t="s">
        <v>3719</v>
      </c>
      <c r="L443" s="2" t="s">
        <v>17</v>
      </c>
    </row>
    <row r="444" spans="1:12">
      <c r="A444" s="14" t="s">
        <v>3720</v>
      </c>
      <c r="B444" s="2" t="s">
        <v>3721</v>
      </c>
      <c r="C444" s="2" t="s">
        <v>14</v>
      </c>
      <c r="D444" s="2" t="s">
        <v>15</v>
      </c>
      <c r="E444" s="2" t="s">
        <v>23</v>
      </c>
      <c r="F444" s="9">
        <v>46139</v>
      </c>
      <c r="G444" s="9">
        <v>46091</v>
      </c>
      <c r="H444" s="8">
        <v>99.99</v>
      </c>
      <c r="I444" s="8">
        <v>61.22</v>
      </c>
      <c r="J444" s="9">
        <v>46114</v>
      </c>
      <c r="K444" s="2" t="s">
        <v>3722</v>
      </c>
      <c r="L444" s="2" t="s">
        <v>17</v>
      </c>
    </row>
    <row r="445" spans="1:12">
      <c r="A445" s="14" t="s">
        <v>1614</v>
      </c>
      <c r="B445" s="2" t="s">
        <v>1615</v>
      </c>
      <c r="C445" s="2" t="s">
        <v>14</v>
      </c>
      <c r="D445" s="2" t="s">
        <v>15</v>
      </c>
      <c r="E445" s="2" t="s">
        <v>16</v>
      </c>
      <c r="F445" s="9">
        <v>46122</v>
      </c>
      <c r="G445" s="9">
        <v>46091</v>
      </c>
      <c r="H445" s="8">
        <v>46.18</v>
      </c>
      <c r="I445" s="8"/>
      <c r="J445" s="9"/>
      <c r="K445" s="2"/>
      <c r="L445" s="2" t="s">
        <v>17</v>
      </c>
    </row>
    <row r="446" spans="1:12">
      <c r="A446" s="14" t="s">
        <v>3723</v>
      </c>
      <c r="B446" s="2" t="s">
        <v>3724</v>
      </c>
      <c r="C446" s="2" t="s">
        <v>14</v>
      </c>
      <c r="D446" s="2" t="s">
        <v>15</v>
      </c>
      <c r="E446" s="2" t="s">
        <v>3638</v>
      </c>
      <c r="F446" s="9">
        <v>46128</v>
      </c>
      <c r="G446" s="9">
        <v>46091</v>
      </c>
      <c r="H446" s="8">
        <v>77.44</v>
      </c>
      <c r="I446" s="8">
        <v>46.15</v>
      </c>
      <c r="J446" s="9">
        <v>46132</v>
      </c>
      <c r="K446" s="2" t="s">
        <v>3725</v>
      </c>
      <c r="L446" s="2" t="s">
        <v>17</v>
      </c>
    </row>
    <row r="447" spans="1:12">
      <c r="A447" s="14" t="s">
        <v>235</v>
      </c>
      <c r="B447" s="2" t="s">
        <v>236</v>
      </c>
      <c r="C447" s="2" t="s">
        <v>14</v>
      </c>
      <c r="D447" s="2" t="s">
        <v>15</v>
      </c>
      <c r="E447" s="2" t="s">
        <v>80</v>
      </c>
      <c r="F447" s="9">
        <v>46126</v>
      </c>
      <c r="G447" s="9">
        <v>46091</v>
      </c>
      <c r="H447" s="8">
        <v>87.74</v>
      </c>
      <c r="I447" s="8">
        <v>52.82</v>
      </c>
      <c r="J447" s="9">
        <v>46130</v>
      </c>
      <c r="K447" s="2" t="s">
        <v>3726</v>
      </c>
      <c r="L447" s="2" t="s">
        <v>17</v>
      </c>
    </row>
    <row r="448" spans="1:12">
      <c r="A448" s="14" t="s">
        <v>3727</v>
      </c>
      <c r="B448" s="2" t="s">
        <v>3728</v>
      </c>
      <c r="C448" s="2" t="s">
        <v>14</v>
      </c>
      <c r="D448" s="2" t="s">
        <v>15</v>
      </c>
      <c r="E448" s="2" t="s">
        <v>16</v>
      </c>
      <c r="F448" s="9">
        <v>46122</v>
      </c>
      <c r="G448" s="9">
        <v>46091</v>
      </c>
      <c r="H448" s="8">
        <v>42.61</v>
      </c>
      <c r="I448" s="8"/>
      <c r="J448" s="9"/>
      <c r="K448" s="2"/>
      <c r="L448" s="2" t="s">
        <v>17</v>
      </c>
    </row>
    <row r="449" spans="1:12">
      <c r="A449" s="14" t="s">
        <v>3729</v>
      </c>
      <c r="B449" s="2" t="s">
        <v>3730</v>
      </c>
      <c r="C449" s="2" t="s">
        <v>14</v>
      </c>
      <c r="D449" s="2" t="s">
        <v>15</v>
      </c>
      <c r="E449" s="2" t="s">
        <v>23</v>
      </c>
      <c r="F449" s="9">
        <v>46122</v>
      </c>
      <c r="G449" s="9">
        <v>46091</v>
      </c>
      <c r="H449" s="8">
        <v>84.41</v>
      </c>
      <c r="I449" s="8">
        <v>20</v>
      </c>
      <c r="J449" s="9">
        <v>46125</v>
      </c>
      <c r="K449" s="2" t="s">
        <v>3731</v>
      </c>
      <c r="L449" s="2" t="s">
        <v>17</v>
      </c>
    </row>
    <row r="450" spans="1:12">
      <c r="A450" s="14" t="s">
        <v>2801</v>
      </c>
      <c r="B450" s="2" t="s">
        <v>2802</v>
      </c>
      <c r="C450" s="2" t="s">
        <v>14</v>
      </c>
      <c r="D450" s="2" t="s">
        <v>15</v>
      </c>
      <c r="E450" s="2" t="s">
        <v>55</v>
      </c>
      <c r="F450" s="9">
        <v>46122</v>
      </c>
      <c r="G450" s="9">
        <v>46091</v>
      </c>
      <c r="H450" s="8">
        <v>99.99</v>
      </c>
      <c r="I450" s="8">
        <v>37.119999999999997</v>
      </c>
      <c r="J450" s="9">
        <v>46125</v>
      </c>
      <c r="K450" s="2" t="s">
        <v>3732</v>
      </c>
      <c r="L450" s="2" t="s">
        <v>17</v>
      </c>
    </row>
    <row r="451" spans="1:12">
      <c r="A451" s="14" t="s">
        <v>2804</v>
      </c>
      <c r="B451" s="2" t="s">
        <v>2805</v>
      </c>
      <c r="C451" s="2" t="s">
        <v>14</v>
      </c>
      <c r="D451" s="2" t="s">
        <v>15</v>
      </c>
      <c r="E451" s="2" t="s">
        <v>55</v>
      </c>
      <c r="F451" s="9">
        <v>46120</v>
      </c>
      <c r="G451" s="9">
        <v>46091</v>
      </c>
      <c r="H451" s="8">
        <v>109.99</v>
      </c>
      <c r="I451" s="8">
        <v>19.22</v>
      </c>
      <c r="J451" s="9">
        <v>46123</v>
      </c>
      <c r="K451" s="2" t="s">
        <v>3733</v>
      </c>
      <c r="L451" s="2" t="s">
        <v>17</v>
      </c>
    </row>
    <row r="452" spans="1:12">
      <c r="A452" s="14" t="s">
        <v>2798</v>
      </c>
      <c r="B452" s="2" t="s">
        <v>2799</v>
      </c>
      <c r="C452" s="2" t="s">
        <v>14</v>
      </c>
      <c r="D452" s="2" t="s">
        <v>15</v>
      </c>
      <c r="E452" s="2" t="s">
        <v>2703</v>
      </c>
      <c r="F452" s="9">
        <v>46120</v>
      </c>
      <c r="G452" s="9">
        <v>46091</v>
      </c>
      <c r="H452" s="8">
        <v>100.66</v>
      </c>
      <c r="I452" s="8">
        <v>55</v>
      </c>
      <c r="J452" s="9">
        <v>46124</v>
      </c>
      <c r="K452" s="2" t="s">
        <v>3734</v>
      </c>
      <c r="L452" s="2" t="s">
        <v>17</v>
      </c>
    </row>
    <row r="453" spans="1:12">
      <c r="A453" s="14" t="s">
        <v>289</v>
      </c>
      <c r="B453" s="2" t="s">
        <v>290</v>
      </c>
      <c r="C453" s="2" t="s">
        <v>14</v>
      </c>
      <c r="D453" s="2" t="s">
        <v>15</v>
      </c>
      <c r="E453" s="2" t="s">
        <v>55</v>
      </c>
      <c r="F453" s="9">
        <v>46121</v>
      </c>
      <c r="G453" s="9">
        <v>46091</v>
      </c>
      <c r="H453" s="8">
        <v>99.99</v>
      </c>
      <c r="I453" s="8">
        <v>20.6</v>
      </c>
      <c r="J453" s="9">
        <v>46124</v>
      </c>
      <c r="K453" s="2" t="s">
        <v>3735</v>
      </c>
      <c r="L453" s="2" t="s">
        <v>17</v>
      </c>
    </row>
    <row r="454" spans="1:12">
      <c r="A454" s="14" t="s">
        <v>2853</v>
      </c>
      <c r="B454" s="2" t="s">
        <v>2854</v>
      </c>
      <c r="C454" s="2" t="s">
        <v>14</v>
      </c>
      <c r="D454" s="2" t="s">
        <v>15</v>
      </c>
      <c r="E454" s="2" t="s">
        <v>23</v>
      </c>
      <c r="F454" s="9">
        <v>46126</v>
      </c>
      <c r="G454" s="9">
        <v>46091</v>
      </c>
      <c r="H454" s="8">
        <v>140.37</v>
      </c>
      <c r="I454" s="8">
        <v>56.06</v>
      </c>
      <c r="J454" s="9">
        <v>46128</v>
      </c>
      <c r="K454" s="2" t="s">
        <v>3736</v>
      </c>
      <c r="L454" s="2" t="s">
        <v>17</v>
      </c>
    </row>
    <row r="455" spans="1:12">
      <c r="A455" s="14" t="s">
        <v>2874</v>
      </c>
      <c r="B455" s="2" t="s">
        <v>2875</v>
      </c>
      <c r="C455" s="2" t="s">
        <v>14</v>
      </c>
      <c r="D455" s="2" t="s">
        <v>15</v>
      </c>
      <c r="E455" s="2" t="s">
        <v>2851</v>
      </c>
      <c r="F455" s="9">
        <v>46134</v>
      </c>
      <c r="G455" s="9">
        <v>46091</v>
      </c>
      <c r="H455" s="8">
        <v>99.99</v>
      </c>
      <c r="I455" s="8">
        <v>41.16</v>
      </c>
      <c r="J455" s="9">
        <v>46139</v>
      </c>
      <c r="K455" s="2" t="s">
        <v>3737</v>
      </c>
      <c r="L455" s="2" t="s">
        <v>17</v>
      </c>
    </row>
    <row r="456" spans="1:12">
      <c r="A456" s="14" t="s">
        <v>3738</v>
      </c>
      <c r="B456" s="2" t="s">
        <v>3739</v>
      </c>
      <c r="C456" s="2" t="s">
        <v>14</v>
      </c>
      <c r="D456" s="2" t="s">
        <v>15</v>
      </c>
      <c r="E456" s="2" t="s">
        <v>55</v>
      </c>
      <c r="F456" s="9">
        <v>46126</v>
      </c>
      <c r="G456" s="9">
        <v>46091</v>
      </c>
      <c r="H456" s="8">
        <v>102.27</v>
      </c>
      <c r="I456" s="8">
        <v>31.56</v>
      </c>
      <c r="J456" s="9">
        <v>46130</v>
      </c>
      <c r="K456" s="2" t="s">
        <v>3740</v>
      </c>
      <c r="L456" s="2" t="s">
        <v>17</v>
      </c>
    </row>
    <row r="457" spans="1:12">
      <c r="A457" s="14" t="s">
        <v>2843</v>
      </c>
      <c r="B457" s="2" t="s">
        <v>2844</v>
      </c>
      <c r="C457" s="2" t="s">
        <v>14</v>
      </c>
      <c r="D457" s="2" t="s">
        <v>15</v>
      </c>
      <c r="E457" s="2" t="s">
        <v>2703</v>
      </c>
      <c r="F457" s="9">
        <v>46126</v>
      </c>
      <c r="G457" s="9">
        <v>46091</v>
      </c>
      <c r="H457" s="8">
        <v>109.99</v>
      </c>
      <c r="I457" s="8">
        <v>41.13</v>
      </c>
      <c r="J457" s="9">
        <v>46130</v>
      </c>
      <c r="K457" s="2" t="s">
        <v>3741</v>
      </c>
      <c r="L457" s="2" t="s">
        <v>17</v>
      </c>
    </row>
    <row r="458" spans="1:12">
      <c r="A458" s="14" t="s">
        <v>2828</v>
      </c>
      <c r="B458" s="2" t="s">
        <v>2829</v>
      </c>
      <c r="C458" s="2" t="s">
        <v>14</v>
      </c>
      <c r="D458" s="2" t="s">
        <v>15</v>
      </c>
      <c r="E458" s="2" t="s">
        <v>58</v>
      </c>
      <c r="F458" s="9">
        <v>46126</v>
      </c>
      <c r="G458" s="9">
        <v>46091</v>
      </c>
      <c r="H458" s="8">
        <v>119.99</v>
      </c>
      <c r="I458" s="8">
        <v>41.19</v>
      </c>
      <c r="J458" s="9">
        <v>46128</v>
      </c>
      <c r="K458" s="2" t="s">
        <v>3742</v>
      </c>
      <c r="L458" s="2" t="s">
        <v>17</v>
      </c>
    </row>
    <row r="459" spans="1:12">
      <c r="A459" s="14" t="s">
        <v>2810</v>
      </c>
      <c r="B459" s="2" t="s">
        <v>2811</v>
      </c>
      <c r="C459" s="2" t="s">
        <v>14</v>
      </c>
      <c r="D459" s="2" t="s">
        <v>15</v>
      </c>
      <c r="E459" s="2" t="s">
        <v>55</v>
      </c>
      <c r="F459" s="9">
        <v>46126</v>
      </c>
      <c r="G459" s="9">
        <v>46091</v>
      </c>
      <c r="H459" s="8">
        <v>109.99</v>
      </c>
      <c r="I459" s="8">
        <v>29.11</v>
      </c>
      <c r="J459" s="9">
        <v>46130</v>
      </c>
      <c r="K459" s="2" t="s">
        <v>3743</v>
      </c>
      <c r="L459" s="2" t="s">
        <v>17</v>
      </c>
    </row>
    <row r="460" spans="1:12">
      <c r="A460" s="14" t="s">
        <v>3744</v>
      </c>
      <c r="B460" s="2" t="s">
        <v>3745</v>
      </c>
      <c r="C460" s="2" t="s">
        <v>14</v>
      </c>
      <c r="D460" s="2" t="s">
        <v>15</v>
      </c>
      <c r="E460" s="2" t="s">
        <v>58</v>
      </c>
      <c r="F460" s="9">
        <v>46126</v>
      </c>
      <c r="G460" s="9">
        <v>46091</v>
      </c>
      <c r="H460" s="8">
        <v>99.99</v>
      </c>
      <c r="I460" s="8">
        <v>43.42</v>
      </c>
      <c r="J460" s="9">
        <v>46130</v>
      </c>
      <c r="K460" s="2" t="s">
        <v>3746</v>
      </c>
      <c r="L460" s="2" t="s">
        <v>17</v>
      </c>
    </row>
    <row r="461" spans="1:12">
      <c r="A461" s="14" t="s">
        <v>2876</v>
      </c>
      <c r="B461" s="2" t="s">
        <v>2877</v>
      </c>
      <c r="C461" s="2" t="s">
        <v>14</v>
      </c>
      <c r="D461" s="2" t="s">
        <v>15</v>
      </c>
      <c r="E461" s="2" t="s">
        <v>2851</v>
      </c>
      <c r="F461" s="9">
        <v>46126</v>
      </c>
      <c r="G461" s="9">
        <v>46091</v>
      </c>
      <c r="H461" s="8">
        <v>99.99</v>
      </c>
      <c r="I461" s="8">
        <v>22.77</v>
      </c>
      <c r="J461" s="9">
        <v>46131</v>
      </c>
      <c r="K461" s="2" t="s">
        <v>3747</v>
      </c>
      <c r="L461" s="2" t="s">
        <v>17</v>
      </c>
    </row>
    <row r="462" spans="1:12">
      <c r="A462" s="14" t="s">
        <v>255</v>
      </c>
      <c r="B462" s="2" t="s">
        <v>256</v>
      </c>
      <c r="C462" s="2" t="s">
        <v>14</v>
      </c>
      <c r="D462" s="2" t="s">
        <v>15</v>
      </c>
      <c r="E462" s="2" t="s">
        <v>58</v>
      </c>
      <c r="F462" s="9">
        <v>46128</v>
      </c>
      <c r="G462" s="9">
        <v>46091</v>
      </c>
      <c r="H462" s="8">
        <v>70.989999999999995</v>
      </c>
      <c r="I462" s="8">
        <v>37.14</v>
      </c>
      <c r="J462" s="9">
        <v>46133</v>
      </c>
      <c r="K462" s="2" t="s">
        <v>3748</v>
      </c>
      <c r="L462" s="2" t="s">
        <v>17</v>
      </c>
    </row>
    <row r="463" spans="1:12">
      <c r="A463" s="14" t="s">
        <v>273</v>
      </c>
      <c r="B463" s="2" t="s">
        <v>274</v>
      </c>
      <c r="C463" s="2" t="s">
        <v>14</v>
      </c>
      <c r="D463" s="2" t="s">
        <v>15</v>
      </c>
      <c r="E463" s="2" t="s">
        <v>16</v>
      </c>
      <c r="F463" s="9">
        <v>46122</v>
      </c>
      <c r="G463" s="9">
        <v>46091</v>
      </c>
      <c r="H463" s="8">
        <v>19.37</v>
      </c>
      <c r="I463" s="8"/>
      <c r="J463" s="9"/>
      <c r="K463" s="2"/>
      <c r="L463" s="2" t="s">
        <v>17</v>
      </c>
    </row>
    <row r="464" spans="1:12">
      <c r="A464" s="14" t="s">
        <v>3749</v>
      </c>
      <c r="B464" s="2" t="s">
        <v>3750</v>
      </c>
      <c r="C464" s="2" t="s">
        <v>14</v>
      </c>
      <c r="D464" s="2" t="s">
        <v>15</v>
      </c>
      <c r="E464" s="2" t="s">
        <v>2742</v>
      </c>
      <c r="F464" s="9">
        <v>46126</v>
      </c>
      <c r="G464" s="9">
        <v>46091</v>
      </c>
      <c r="H464" s="8">
        <v>101.1</v>
      </c>
      <c r="I464" s="8">
        <v>30</v>
      </c>
      <c r="J464" s="9">
        <v>46128</v>
      </c>
      <c r="K464" s="2" t="s">
        <v>3751</v>
      </c>
      <c r="L464" s="2" t="s">
        <v>17</v>
      </c>
    </row>
    <row r="465" spans="1:12">
      <c r="A465" s="14" t="s">
        <v>3752</v>
      </c>
      <c r="B465" s="2" t="s">
        <v>3753</v>
      </c>
      <c r="C465" s="2" t="s">
        <v>14</v>
      </c>
      <c r="D465" s="2" t="s">
        <v>15</v>
      </c>
      <c r="E465" s="2" t="s">
        <v>55</v>
      </c>
      <c r="F465" s="9">
        <v>46127</v>
      </c>
      <c r="G465" s="9">
        <v>46091</v>
      </c>
      <c r="H465" s="8">
        <v>81.64</v>
      </c>
      <c r="I465" s="8">
        <v>16.850000000000001</v>
      </c>
      <c r="J465" s="9">
        <v>46132</v>
      </c>
      <c r="K465" s="2" t="s">
        <v>3754</v>
      </c>
      <c r="L465" s="2" t="s">
        <v>17</v>
      </c>
    </row>
    <row r="466" spans="1:12">
      <c r="A466" s="14" t="s">
        <v>267</v>
      </c>
      <c r="B466" s="2" t="s">
        <v>268</v>
      </c>
      <c r="C466" s="2" t="s">
        <v>14</v>
      </c>
      <c r="D466" s="2" t="s">
        <v>15</v>
      </c>
      <c r="E466" s="2" t="s">
        <v>58</v>
      </c>
      <c r="F466" s="9">
        <v>46122</v>
      </c>
      <c r="G466" s="9">
        <v>46091</v>
      </c>
      <c r="H466" s="8">
        <v>74.55</v>
      </c>
      <c r="I466" s="8">
        <v>36</v>
      </c>
      <c r="J466" s="9">
        <v>46127</v>
      </c>
      <c r="K466" s="2" t="s">
        <v>3755</v>
      </c>
      <c r="L466" s="2" t="s">
        <v>17</v>
      </c>
    </row>
    <row r="467" spans="1:12">
      <c r="A467" s="14" t="s">
        <v>3756</v>
      </c>
      <c r="B467" s="2" t="s">
        <v>3757</v>
      </c>
      <c r="C467" s="2" t="s">
        <v>14</v>
      </c>
      <c r="D467" s="2" t="s">
        <v>15</v>
      </c>
      <c r="E467" s="2" t="s">
        <v>55</v>
      </c>
      <c r="F467" s="9">
        <v>46126</v>
      </c>
      <c r="G467" s="9">
        <v>46091</v>
      </c>
      <c r="H467" s="8">
        <v>119.99</v>
      </c>
      <c r="I467" s="8">
        <v>24.75</v>
      </c>
      <c r="J467" s="9">
        <v>46130</v>
      </c>
      <c r="K467" s="2" t="s">
        <v>3758</v>
      </c>
      <c r="L467" s="2" t="s">
        <v>17</v>
      </c>
    </row>
    <row r="468" spans="1:12">
      <c r="A468" s="14" t="s">
        <v>3759</v>
      </c>
      <c r="B468" s="2" t="s">
        <v>3760</v>
      </c>
      <c r="C468" s="2" t="s">
        <v>14</v>
      </c>
      <c r="D468" s="2" t="s">
        <v>15</v>
      </c>
      <c r="E468" s="2" t="s">
        <v>16</v>
      </c>
      <c r="F468" s="9">
        <v>46121</v>
      </c>
      <c r="G468" s="9">
        <v>46091</v>
      </c>
      <c r="H468" s="8">
        <v>1.87</v>
      </c>
      <c r="I468" s="8"/>
      <c r="J468" s="9"/>
      <c r="K468" s="2"/>
      <c r="L468" s="2" t="s">
        <v>17</v>
      </c>
    </row>
    <row r="469" spans="1:12">
      <c r="A469" s="14" t="s">
        <v>3761</v>
      </c>
      <c r="B469" s="2" t="s">
        <v>3762</v>
      </c>
      <c r="C469" s="2" t="s">
        <v>14</v>
      </c>
      <c r="D469" s="2" t="s">
        <v>15</v>
      </c>
      <c r="E469" s="2" t="s">
        <v>55</v>
      </c>
      <c r="F469" s="9">
        <v>46121</v>
      </c>
      <c r="G469" s="9">
        <v>46091</v>
      </c>
      <c r="H469" s="8">
        <v>139.99</v>
      </c>
      <c r="I469" s="8">
        <v>37.42</v>
      </c>
      <c r="J469" s="9">
        <v>46123</v>
      </c>
      <c r="K469" s="2" t="s">
        <v>3763</v>
      </c>
      <c r="L469" s="2" t="s">
        <v>17</v>
      </c>
    </row>
    <row r="470" spans="1:12">
      <c r="A470" s="14" t="s">
        <v>3764</v>
      </c>
      <c r="B470" s="2" t="s">
        <v>3765</v>
      </c>
      <c r="C470" s="2" t="s">
        <v>14</v>
      </c>
      <c r="D470" s="2" t="s">
        <v>15</v>
      </c>
      <c r="E470" s="2" t="s">
        <v>55</v>
      </c>
      <c r="F470" s="9">
        <v>46139</v>
      </c>
      <c r="G470" s="9">
        <v>46091</v>
      </c>
      <c r="H470" s="8">
        <v>99.99</v>
      </c>
      <c r="I470" s="8">
        <v>30</v>
      </c>
      <c r="J470" s="9">
        <v>46142</v>
      </c>
      <c r="K470" s="2" t="s">
        <v>3766</v>
      </c>
      <c r="L470" s="2" t="s">
        <v>17</v>
      </c>
    </row>
    <row r="471" spans="1:12">
      <c r="A471" s="14" t="s">
        <v>3767</v>
      </c>
      <c r="B471" s="2" t="s">
        <v>3768</v>
      </c>
      <c r="C471" s="2" t="s">
        <v>14</v>
      </c>
      <c r="D471" s="2" t="s">
        <v>15</v>
      </c>
      <c r="E471" s="2" t="s">
        <v>3638</v>
      </c>
      <c r="F471" s="9">
        <v>46128</v>
      </c>
      <c r="G471" s="9">
        <v>46091</v>
      </c>
      <c r="H471" s="8">
        <v>99.99</v>
      </c>
      <c r="I471" s="8">
        <v>61.62</v>
      </c>
      <c r="J471" s="9">
        <v>46131</v>
      </c>
      <c r="K471" s="2" t="s">
        <v>3769</v>
      </c>
      <c r="L471" s="2" t="s">
        <v>17</v>
      </c>
    </row>
    <row r="472" spans="1:12">
      <c r="A472" s="14" t="s">
        <v>2825</v>
      </c>
      <c r="B472" s="2" t="s">
        <v>2826</v>
      </c>
      <c r="C472" s="2" t="s">
        <v>14</v>
      </c>
      <c r="D472" s="2" t="s">
        <v>15</v>
      </c>
      <c r="E472" s="2" t="s">
        <v>55</v>
      </c>
      <c r="F472" s="9">
        <v>46126</v>
      </c>
      <c r="G472" s="9">
        <v>46091</v>
      </c>
      <c r="H472" s="8">
        <v>119.99</v>
      </c>
      <c r="I472" s="8">
        <v>51.64</v>
      </c>
      <c r="J472" s="9">
        <v>46130</v>
      </c>
      <c r="K472" s="2" t="s">
        <v>3770</v>
      </c>
      <c r="L472" s="2" t="s">
        <v>17</v>
      </c>
    </row>
    <row r="473" spans="1:12">
      <c r="A473" s="14" t="s">
        <v>1679</v>
      </c>
      <c r="B473" s="2" t="s">
        <v>1680</v>
      </c>
      <c r="C473" s="2" t="s">
        <v>14</v>
      </c>
      <c r="D473" s="2" t="s">
        <v>15</v>
      </c>
      <c r="E473" s="2" t="s">
        <v>16</v>
      </c>
      <c r="F473" s="9">
        <v>46122</v>
      </c>
      <c r="G473" s="9">
        <v>46091</v>
      </c>
      <c r="H473" s="8">
        <v>31.96</v>
      </c>
      <c r="I473" s="8"/>
      <c r="J473" s="9"/>
      <c r="K473" s="2"/>
      <c r="L473" s="2" t="s">
        <v>17</v>
      </c>
    </row>
    <row r="474" spans="1:12">
      <c r="A474" s="14" t="s">
        <v>3771</v>
      </c>
      <c r="B474" s="2" t="s">
        <v>3772</v>
      </c>
      <c r="C474" s="2" t="s">
        <v>14</v>
      </c>
      <c r="D474" s="2" t="s">
        <v>15</v>
      </c>
      <c r="E474" s="2" t="s">
        <v>3638</v>
      </c>
      <c r="F474" s="9">
        <v>46134</v>
      </c>
      <c r="G474" s="9">
        <v>46091</v>
      </c>
      <c r="H474" s="8">
        <v>109.99</v>
      </c>
      <c r="I474" s="8">
        <v>33.35</v>
      </c>
      <c r="J474" s="9">
        <v>46137</v>
      </c>
      <c r="K474" s="2" t="s">
        <v>3773</v>
      </c>
      <c r="L474" s="2" t="s">
        <v>17</v>
      </c>
    </row>
    <row r="475" spans="1:12">
      <c r="A475" s="14" t="s">
        <v>338</v>
      </c>
      <c r="B475" s="2" t="s">
        <v>339</v>
      </c>
      <c r="C475" s="2" t="s">
        <v>14</v>
      </c>
      <c r="D475" s="2" t="s">
        <v>15</v>
      </c>
      <c r="E475" s="2" t="s">
        <v>2574</v>
      </c>
      <c r="F475" s="9">
        <v>46126</v>
      </c>
      <c r="G475" s="9">
        <v>46091</v>
      </c>
      <c r="H475" s="8">
        <v>99.99</v>
      </c>
      <c r="I475" s="8">
        <v>30</v>
      </c>
      <c r="J475" s="9">
        <v>46129</v>
      </c>
      <c r="K475" s="2" t="s">
        <v>3774</v>
      </c>
      <c r="L475" s="2" t="s">
        <v>17</v>
      </c>
    </row>
    <row r="476" spans="1:12">
      <c r="A476" s="14" t="s">
        <v>2882</v>
      </c>
      <c r="B476" s="2" t="s">
        <v>2883</v>
      </c>
      <c r="C476" s="2" t="s">
        <v>14</v>
      </c>
      <c r="D476" s="2" t="s">
        <v>15</v>
      </c>
      <c r="E476" s="2" t="s">
        <v>55</v>
      </c>
      <c r="F476" s="9">
        <v>46126</v>
      </c>
      <c r="G476" s="9">
        <v>46091</v>
      </c>
      <c r="H476" s="8">
        <v>121.59</v>
      </c>
      <c r="I476" s="8">
        <v>31.4</v>
      </c>
      <c r="J476" s="9">
        <v>46131</v>
      </c>
      <c r="K476" s="2" t="s">
        <v>3775</v>
      </c>
      <c r="L476" s="2" t="s">
        <v>17</v>
      </c>
    </row>
    <row r="477" spans="1:12">
      <c r="A477" s="14" t="s">
        <v>301</v>
      </c>
      <c r="B477" s="2" t="s">
        <v>302</v>
      </c>
      <c r="C477" s="2" t="s">
        <v>14</v>
      </c>
      <c r="D477" s="2" t="s">
        <v>15</v>
      </c>
      <c r="E477" s="2" t="s">
        <v>2851</v>
      </c>
      <c r="F477" s="9">
        <v>46127</v>
      </c>
      <c r="G477" s="9">
        <v>46091</v>
      </c>
      <c r="H477" s="8">
        <v>83.9</v>
      </c>
      <c r="I477" s="8">
        <v>43.88</v>
      </c>
      <c r="J477" s="9">
        <v>46132</v>
      </c>
      <c r="K477" s="2" t="s">
        <v>3776</v>
      </c>
      <c r="L477" s="2" t="s">
        <v>17</v>
      </c>
    </row>
    <row r="478" spans="1:12">
      <c r="A478" s="14" t="s">
        <v>244</v>
      </c>
      <c r="B478" s="2" t="s">
        <v>245</v>
      </c>
      <c r="C478" s="2" t="s">
        <v>14</v>
      </c>
      <c r="D478" s="2" t="s">
        <v>15</v>
      </c>
      <c r="E478" s="2" t="s">
        <v>55</v>
      </c>
      <c r="F478" s="9">
        <v>46127</v>
      </c>
      <c r="G478" s="9">
        <v>46091</v>
      </c>
      <c r="H478" s="8">
        <v>92.91</v>
      </c>
      <c r="I478" s="8">
        <v>43.69</v>
      </c>
      <c r="J478" s="9">
        <v>46131</v>
      </c>
      <c r="K478" s="2" t="s">
        <v>3777</v>
      </c>
      <c r="L478" s="2" t="s">
        <v>17</v>
      </c>
    </row>
    <row r="479" spans="1:12">
      <c r="A479" s="14" t="s">
        <v>3778</v>
      </c>
      <c r="B479" s="2" t="s">
        <v>3779</v>
      </c>
      <c r="C479" s="2" t="s">
        <v>14</v>
      </c>
      <c r="D479" s="2" t="s">
        <v>15</v>
      </c>
      <c r="E479" s="2" t="s">
        <v>55</v>
      </c>
      <c r="F479" s="9">
        <v>46120</v>
      </c>
      <c r="G479" s="9">
        <v>46091</v>
      </c>
      <c r="H479" s="8">
        <v>109.99</v>
      </c>
      <c r="I479" s="8">
        <v>25</v>
      </c>
      <c r="J479" s="9">
        <v>46123</v>
      </c>
      <c r="K479" s="2" t="s">
        <v>3780</v>
      </c>
      <c r="L479" s="2" t="s">
        <v>17</v>
      </c>
    </row>
    <row r="480" spans="1:12">
      <c r="A480" s="14" t="s">
        <v>3781</v>
      </c>
      <c r="B480" s="2" t="s">
        <v>3782</v>
      </c>
      <c r="C480" s="2" t="s">
        <v>14</v>
      </c>
      <c r="D480" s="2" t="s">
        <v>15</v>
      </c>
      <c r="E480" s="2" t="s">
        <v>16</v>
      </c>
      <c r="F480" s="9">
        <v>46120</v>
      </c>
      <c r="G480" s="9">
        <v>46091</v>
      </c>
      <c r="H480" s="8">
        <v>25.81</v>
      </c>
      <c r="I480" s="8"/>
      <c r="J480" s="9"/>
      <c r="K480" s="2"/>
      <c r="L480" s="2" t="s">
        <v>17</v>
      </c>
    </row>
    <row r="481" spans="1:12">
      <c r="A481" s="14" t="s">
        <v>3783</v>
      </c>
      <c r="B481" s="2" t="s">
        <v>3784</v>
      </c>
      <c r="C481" s="2" t="s">
        <v>14</v>
      </c>
      <c r="D481" s="2" t="s">
        <v>15</v>
      </c>
      <c r="E481" s="2" t="s">
        <v>55</v>
      </c>
      <c r="F481" s="9">
        <v>46132</v>
      </c>
      <c r="G481" s="9">
        <v>46091</v>
      </c>
      <c r="H481" s="8">
        <v>99.99</v>
      </c>
      <c r="I481" s="8">
        <v>25</v>
      </c>
      <c r="J481" s="9">
        <v>46136</v>
      </c>
      <c r="K481" s="2" t="s">
        <v>3785</v>
      </c>
      <c r="L481" s="2" t="s">
        <v>17</v>
      </c>
    </row>
    <row r="482" spans="1:12">
      <c r="A482" s="14" t="s">
        <v>3786</v>
      </c>
      <c r="B482" s="2" t="s">
        <v>3787</v>
      </c>
      <c r="C482" s="2" t="s">
        <v>14</v>
      </c>
      <c r="D482" s="2" t="s">
        <v>15</v>
      </c>
      <c r="E482" s="2" t="s">
        <v>16</v>
      </c>
      <c r="F482" s="9">
        <v>46120</v>
      </c>
      <c r="G482" s="9">
        <v>46091</v>
      </c>
      <c r="H482" s="8">
        <v>21.32</v>
      </c>
      <c r="I482" s="8"/>
      <c r="J482" s="9"/>
      <c r="K482" s="2"/>
      <c r="L482" s="2" t="s">
        <v>17</v>
      </c>
    </row>
    <row r="483" spans="1:12">
      <c r="A483" s="14" t="s">
        <v>390</v>
      </c>
      <c r="B483" s="2" t="s">
        <v>391</v>
      </c>
      <c r="C483" s="2" t="s">
        <v>14</v>
      </c>
      <c r="D483" s="2" t="s">
        <v>15</v>
      </c>
      <c r="E483" s="2" t="s">
        <v>23</v>
      </c>
      <c r="F483" s="9">
        <v>46120</v>
      </c>
      <c r="G483" s="9">
        <v>46091</v>
      </c>
      <c r="H483" s="8">
        <v>109.99</v>
      </c>
      <c r="I483" s="8">
        <v>23.43</v>
      </c>
      <c r="J483" s="9">
        <v>46123</v>
      </c>
      <c r="K483" s="2" t="s">
        <v>3640</v>
      </c>
      <c r="L483" s="2" t="s">
        <v>17</v>
      </c>
    </row>
    <row r="484" spans="1:12">
      <c r="A484" s="14" t="s">
        <v>3788</v>
      </c>
      <c r="B484" s="2" t="s">
        <v>3789</v>
      </c>
      <c r="C484" s="2" t="s">
        <v>14</v>
      </c>
      <c r="D484" s="2" t="s">
        <v>15</v>
      </c>
      <c r="E484" s="2" t="s">
        <v>23</v>
      </c>
      <c r="F484" s="9">
        <v>46126</v>
      </c>
      <c r="G484" s="9">
        <v>46091</v>
      </c>
      <c r="H484" s="8">
        <v>70.989999999999995</v>
      </c>
      <c r="I484" s="8">
        <v>30</v>
      </c>
      <c r="J484" s="9">
        <v>46128</v>
      </c>
      <c r="K484" s="2" t="s">
        <v>3790</v>
      </c>
      <c r="L484" s="2" t="s">
        <v>17</v>
      </c>
    </row>
    <row r="485" spans="1:12">
      <c r="A485" s="14" t="s">
        <v>422</v>
      </c>
      <c r="B485" s="2" t="s">
        <v>423</v>
      </c>
      <c r="C485" s="2" t="s">
        <v>14</v>
      </c>
      <c r="D485" s="2" t="s">
        <v>15</v>
      </c>
      <c r="E485" s="2" t="s">
        <v>16</v>
      </c>
      <c r="F485" s="9">
        <v>46120</v>
      </c>
      <c r="G485" s="9">
        <v>46091</v>
      </c>
      <c r="H485" s="8">
        <v>35.51</v>
      </c>
      <c r="I485" s="8"/>
      <c r="J485" s="9"/>
      <c r="K485" s="2"/>
      <c r="L485" s="2" t="s">
        <v>17</v>
      </c>
    </row>
    <row r="486" spans="1:12">
      <c r="A486" s="14" t="s">
        <v>3791</v>
      </c>
      <c r="B486" s="2" t="s">
        <v>3792</v>
      </c>
      <c r="C486" s="2" t="s">
        <v>14</v>
      </c>
      <c r="D486" s="2" t="s">
        <v>15</v>
      </c>
      <c r="E486" s="2" t="s">
        <v>16</v>
      </c>
      <c r="F486" s="9">
        <v>46120</v>
      </c>
      <c r="G486" s="9">
        <v>46091</v>
      </c>
      <c r="H486" s="8">
        <v>4.8499999999999996</v>
      </c>
      <c r="I486" s="8"/>
      <c r="J486" s="9"/>
      <c r="K486" s="2"/>
      <c r="L486" s="2" t="s">
        <v>17</v>
      </c>
    </row>
    <row r="487" spans="1:12">
      <c r="A487" s="14" t="s">
        <v>429</v>
      </c>
      <c r="B487" s="2" t="s">
        <v>430</v>
      </c>
      <c r="C487" s="2" t="s">
        <v>14</v>
      </c>
      <c r="D487" s="2" t="s">
        <v>15</v>
      </c>
      <c r="E487" s="2" t="s">
        <v>16</v>
      </c>
      <c r="F487" s="9">
        <v>46122</v>
      </c>
      <c r="G487" s="9">
        <v>46091</v>
      </c>
      <c r="H487" s="8">
        <v>49.99</v>
      </c>
      <c r="I487" s="8"/>
      <c r="J487" s="9"/>
      <c r="K487" s="2"/>
      <c r="L487" s="2" t="s">
        <v>17</v>
      </c>
    </row>
    <row r="488" spans="1:12">
      <c r="A488" s="14" t="s">
        <v>410</v>
      </c>
      <c r="B488" s="2" t="s">
        <v>411</v>
      </c>
      <c r="C488" s="2" t="s">
        <v>14</v>
      </c>
      <c r="D488" s="2" t="s">
        <v>15</v>
      </c>
      <c r="E488" s="2" t="s">
        <v>16</v>
      </c>
      <c r="F488" s="9">
        <v>46120</v>
      </c>
      <c r="G488" s="9">
        <v>46091</v>
      </c>
      <c r="H488" s="8">
        <v>4.8499999999999996</v>
      </c>
      <c r="I488" s="8"/>
      <c r="J488" s="9"/>
      <c r="K488" s="2"/>
      <c r="L488" s="2" t="s">
        <v>17</v>
      </c>
    </row>
    <row r="489" spans="1:12">
      <c r="A489" s="14" t="s">
        <v>2909</v>
      </c>
      <c r="B489" s="2" t="s">
        <v>2910</v>
      </c>
      <c r="C489" s="2" t="s">
        <v>14</v>
      </c>
      <c r="D489" s="2" t="s">
        <v>15</v>
      </c>
      <c r="E489" s="2" t="s">
        <v>16</v>
      </c>
      <c r="F489" s="9">
        <v>46120</v>
      </c>
      <c r="G489" s="9">
        <v>46091</v>
      </c>
      <c r="H489" s="8">
        <v>25.83</v>
      </c>
      <c r="I489" s="8"/>
      <c r="J489" s="9"/>
      <c r="K489" s="2"/>
      <c r="L489" s="2" t="s">
        <v>17</v>
      </c>
    </row>
    <row r="490" spans="1:12">
      <c r="A490" s="14" t="s">
        <v>3793</v>
      </c>
      <c r="B490" s="2" t="s">
        <v>3794</v>
      </c>
      <c r="C490" s="2" t="s">
        <v>14</v>
      </c>
      <c r="D490" s="2" t="s">
        <v>15</v>
      </c>
      <c r="E490" s="2" t="s">
        <v>16</v>
      </c>
      <c r="F490" s="9">
        <v>46122</v>
      </c>
      <c r="G490" s="9">
        <v>46091</v>
      </c>
      <c r="H490" s="8">
        <v>49.99</v>
      </c>
      <c r="I490" s="8"/>
      <c r="J490" s="9"/>
      <c r="K490" s="2"/>
      <c r="L490" s="2" t="s">
        <v>17</v>
      </c>
    </row>
    <row r="491" spans="1:12">
      <c r="A491" s="14" t="s">
        <v>2914</v>
      </c>
      <c r="B491" s="2" t="s">
        <v>2915</v>
      </c>
      <c r="C491" s="2" t="s">
        <v>14</v>
      </c>
      <c r="D491" s="2" t="s">
        <v>15</v>
      </c>
      <c r="E491" s="2" t="s">
        <v>16</v>
      </c>
      <c r="F491" s="9">
        <v>46122</v>
      </c>
      <c r="G491" s="9">
        <v>46091</v>
      </c>
      <c r="H491" s="8">
        <v>49.99</v>
      </c>
      <c r="I491" s="8"/>
      <c r="J491" s="9"/>
      <c r="K491" s="2"/>
      <c r="L491" s="2" t="s">
        <v>17</v>
      </c>
    </row>
    <row r="492" spans="1:12">
      <c r="A492" s="14" t="s">
        <v>3795</v>
      </c>
      <c r="B492" s="2" t="s">
        <v>3796</v>
      </c>
      <c r="C492" s="2" t="s">
        <v>14</v>
      </c>
      <c r="D492" s="2" t="s">
        <v>15</v>
      </c>
      <c r="E492" s="2" t="s">
        <v>2633</v>
      </c>
      <c r="F492" s="9">
        <v>46120</v>
      </c>
      <c r="G492" s="9">
        <v>46091</v>
      </c>
      <c r="H492" s="8">
        <v>99.99</v>
      </c>
      <c r="I492" s="8">
        <v>20.59</v>
      </c>
      <c r="J492" s="9">
        <v>46124</v>
      </c>
      <c r="K492" s="2" t="s">
        <v>3797</v>
      </c>
      <c r="L492" s="2" t="s">
        <v>17</v>
      </c>
    </row>
    <row r="493" spans="1:12">
      <c r="A493" s="14" t="s">
        <v>3798</v>
      </c>
      <c r="B493" s="2" t="s">
        <v>3799</v>
      </c>
      <c r="C493" s="2" t="s">
        <v>14</v>
      </c>
      <c r="D493" s="2" t="s">
        <v>15</v>
      </c>
      <c r="E493" s="2" t="s">
        <v>23</v>
      </c>
      <c r="F493" s="9">
        <v>46119</v>
      </c>
      <c r="G493" s="9">
        <v>46091</v>
      </c>
      <c r="H493" s="8">
        <v>149.99</v>
      </c>
      <c r="I493" s="8">
        <v>62.23</v>
      </c>
      <c r="J493" s="9">
        <v>46123</v>
      </c>
      <c r="K493" s="2" t="s">
        <v>3800</v>
      </c>
      <c r="L493" s="2" t="s">
        <v>17</v>
      </c>
    </row>
    <row r="494" spans="1:12">
      <c r="A494" s="14" t="s">
        <v>2895</v>
      </c>
      <c r="B494" s="2" t="s">
        <v>2896</v>
      </c>
      <c r="C494" s="2" t="s">
        <v>14</v>
      </c>
      <c r="D494" s="2" t="s">
        <v>15</v>
      </c>
      <c r="E494" s="2" t="s">
        <v>58</v>
      </c>
      <c r="F494" s="9">
        <v>46119</v>
      </c>
      <c r="G494" s="9">
        <v>46091</v>
      </c>
      <c r="H494" s="8">
        <v>100.46</v>
      </c>
      <c r="I494" s="8">
        <v>27.88</v>
      </c>
      <c r="J494" s="9">
        <v>46122</v>
      </c>
      <c r="K494" s="2" t="s">
        <v>3801</v>
      </c>
      <c r="L494" s="2" t="s">
        <v>17</v>
      </c>
    </row>
    <row r="495" spans="1:12">
      <c r="A495" s="14" t="s">
        <v>350</v>
      </c>
      <c r="B495" s="2" t="s">
        <v>351</v>
      </c>
      <c r="C495" s="2" t="s">
        <v>14</v>
      </c>
      <c r="D495" s="2" t="s">
        <v>15</v>
      </c>
      <c r="E495" s="2" t="s">
        <v>16</v>
      </c>
      <c r="F495" s="9">
        <v>46118</v>
      </c>
      <c r="G495" s="9">
        <v>46091</v>
      </c>
      <c r="H495" s="8">
        <v>10.68</v>
      </c>
      <c r="I495" s="8"/>
      <c r="J495" s="9"/>
      <c r="K495" s="2"/>
      <c r="L495" s="2" t="s">
        <v>17</v>
      </c>
    </row>
    <row r="496" spans="1:12">
      <c r="A496" s="14" t="s">
        <v>3802</v>
      </c>
      <c r="B496" s="2" t="s">
        <v>3803</v>
      </c>
      <c r="C496" s="2" t="s">
        <v>14</v>
      </c>
      <c r="D496" s="2" t="s">
        <v>15</v>
      </c>
      <c r="E496" s="2" t="s">
        <v>16</v>
      </c>
      <c r="F496" s="9">
        <v>46118</v>
      </c>
      <c r="G496" s="9">
        <v>46091</v>
      </c>
      <c r="H496" s="8">
        <v>9.68</v>
      </c>
      <c r="I496" s="8"/>
      <c r="J496" s="9"/>
      <c r="K496" s="2"/>
      <c r="L496" s="2" t="s">
        <v>17</v>
      </c>
    </row>
    <row r="497" spans="1:12">
      <c r="A497" s="14" t="s">
        <v>3804</v>
      </c>
      <c r="B497" s="2" t="s">
        <v>3805</v>
      </c>
      <c r="C497" s="2" t="s">
        <v>14</v>
      </c>
      <c r="D497" s="2" t="s">
        <v>15</v>
      </c>
      <c r="E497" s="2" t="s">
        <v>2851</v>
      </c>
      <c r="F497" s="9">
        <v>46126</v>
      </c>
      <c r="G497" s="9">
        <v>46091</v>
      </c>
      <c r="H497" s="8">
        <v>91.22</v>
      </c>
      <c r="I497" s="8">
        <v>28.22</v>
      </c>
      <c r="J497" s="9">
        <v>46127</v>
      </c>
      <c r="K497" s="2" t="s">
        <v>3806</v>
      </c>
      <c r="L497" s="2" t="s">
        <v>17</v>
      </c>
    </row>
    <row r="498" spans="1:12">
      <c r="A498" s="14" t="s">
        <v>2898</v>
      </c>
      <c r="B498" s="2" t="s">
        <v>2899</v>
      </c>
      <c r="C498" s="2" t="s">
        <v>14</v>
      </c>
      <c r="D498" s="2" t="s">
        <v>15</v>
      </c>
      <c r="E498" s="2" t="s">
        <v>2703</v>
      </c>
      <c r="F498" s="9">
        <v>46120</v>
      </c>
      <c r="G498" s="9">
        <v>46091</v>
      </c>
      <c r="H498" s="8">
        <v>79.989999999999995</v>
      </c>
      <c r="I498" s="8">
        <v>27.17</v>
      </c>
      <c r="J498" s="9">
        <v>46125</v>
      </c>
      <c r="K498" s="2" t="s">
        <v>3807</v>
      </c>
      <c r="L498" s="2" t="s">
        <v>17</v>
      </c>
    </row>
    <row r="499" spans="1:12">
      <c r="A499" s="14" t="s">
        <v>2891</v>
      </c>
      <c r="B499" s="2" t="s">
        <v>2892</v>
      </c>
      <c r="C499" s="2" t="s">
        <v>14</v>
      </c>
      <c r="D499" s="2" t="s">
        <v>15</v>
      </c>
      <c r="E499" s="2" t="s">
        <v>23</v>
      </c>
      <c r="F499" s="9">
        <v>46119</v>
      </c>
      <c r="G499" s="9">
        <v>46091</v>
      </c>
      <c r="H499" s="8">
        <v>109.99</v>
      </c>
      <c r="I499" s="8">
        <v>53.33</v>
      </c>
      <c r="J499" s="9">
        <v>46122</v>
      </c>
      <c r="K499" s="2" t="s">
        <v>3808</v>
      </c>
      <c r="L499" s="2" t="s">
        <v>17</v>
      </c>
    </row>
    <row r="500" spans="1:12">
      <c r="A500" s="14" t="s">
        <v>3809</v>
      </c>
      <c r="B500" s="2" t="s">
        <v>3810</v>
      </c>
      <c r="C500" s="2" t="s">
        <v>14</v>
      </c>
      <c r="D500" s="2" t="s">
        <v>15</v>
      </c>
      <c r="E500" s="2" t="s">
        <v>55</v>
      </c>
      <c r="F500" s="9">
        <v>46119</v>
      </c>
      <c r="G500" s="9">
        <v>46091</v>
      </c>
      <c r="H500" s="8">
        <v>89.99</v>
      </c>
      <c r="I500" s="8">
        <v>30</v>
      </c>
      <c r="J500" s="9">
        <v>46122</v>
      </c>
      <c r="K500" s="2" t="s">
        <v>3811</v>
      </c>
      <c r="L500" s="2" t="s">
        <v>17</v>
      </c>
    </row>
    <row r="501" spans="1:12">
      <c r="A501" s="14" t="s">
        <v>3812</v>
      </c>
      <c r="B501" s="2" t="s">
        <v>3813</v>
      </c>
      <c r="C501" s="2" t="s">
        <v>14</v>
      </c>
      <c r="D501" s="2" t="s">
        <v>15</v>
      </c>
      <c r="E501" s="2" t="s">
        <v>55</v>
      </c>
      <c r="F501" s="9">
        <v>46126</v>
      </c>
      <c r="G501" s="9">
        <v>46091</v>
      </c>
      <c r="H501" s="8">
        <v>90.13</v>
      </c>
      <c r="I501" s="8">
        <v>38.81</v>
      </c>
      <c r="J501" s="9">
        <v>46130</v>
      </c>
      <c r="K501" s="2" t="s">
        <v>3814</v>
      </c>
      <c r="L501" s="2" t="s">
        <v>17</v>
      </c>
    </row>
    <row r="502" spans="1:12">
      <c r="A502" s="14" t="s">
        <v>362</v>
      </c>
      <c r="B502" s="2" t="s">
        <v>363</v>
      </c>
      <c r="C502" s="2" t="s">
        <v>14</v>
      </c>
      <c r="D502" s="2" t="s">
        <v>15</v>
      </c>
      <c r="E502" s="2" t="s">
        <v>16</v>
      </c>
      <c r="F502" s="9">
        <v>46118</v>
      </c>
      <c r="G502" s="9">
        <v>46091</v>
      </c>
      <c r="H502" s="8">
        <v>21.32</v>
      </c>
      <c r="I502" s="8"/>
      <c r="J502" s="9"/>
      <c r="K502" s="2"/>
      <c r="L502" s="2" t="s">
        <v>17</v>
      </c>
    </row>
    <row r="503" spans="1:12">
      <c r="A503" s="14" t="s">
        <v>3815</v>
      </c>
      <c r="B503" s="2" t="s">
        <v>3816</v>
      </c>
      <c r="C503" s="2" t="s">
        <v>14</v>
      </c>
      <c r="D503" s="2" t="s">
        <v>15</v>
      </c>
      <c r="E503" s="2" t="s">
        <v>3064</v>
      </c>
      <c r="F503" s="9">
        <v>46119</v>
      </c>
      <c r="G503" s="9">
        <v>46091</v>
      </c>
      <c r="H503" s="8">
        <v>117.65</v>
      </c>
      <c r="I503" s="8">
        <v>44.63</v>
      </c>
      <c r="J503" s="9">
        <v>46122</v>
      </c>
      <c r="K503" s="2" t="s">
        <v>3817</v>
      </c>
      <c r="L503" s="2" t="s">
        <v>17</v>
      </c>
    </row>
    <row r="504" spans="1:12">
      <c r="A504" s="14" t="s">
        <v>3818</v>
      </c>
      <c r="B504" s="2" t="s">
        <v>3819</v>
      </c>
      <c r="C504" s="2" t="s">
        <v>14</v>
      </c>
      <c r="D504" s="2" t="s">
        <v>15</v>
      </c>
      <c r="E504" s="2" t="s">
        <v>58</v>
      </c>
      <c r="F504" s="9">
        <v>46119</v>
      </c>
      <c r="G504" s="9">
        <v>46091</v>
      </c>
      <c r="H504" s="8">
        <v>101.41</v>
      </c>
      <c r="I504" s="8">
        <v>20.71</v>
      </c>
      <c r="J504" s="9">
        <v>46122</v>
      </c>
      <c r="K504" s="2" t="s">
        <v>3820</v>
      </c>
      <c r="L504" s="2" t="s">
        <v>17</v>
      </c>
    </row>
    <row r="505" spans="1:12">
      <c r="A505" s="14" t="s">
        <v>3821</v>
      </c>
      <c r="B505" s="2" t="s">
        <v>3822</v>
      </c>
      <c r="C505" s="2" t="s">
        <v>14</v>
      </c>
      <c r="D505" s="2" t="s">
        <v>15</v>
      </c>
      <c r="E505" s="2" t="s">
        <v>16</v>
      </c>
      <c r="F505" s="9">
        <v>46126</v>
      </c>
      <c r="G505" s="9">
        <v>46091</v>
      </c>
      <c r="H505" s="8">
        <v>48.42</v>
      </c>
      <c r="I505" s="8"/>
      <c r="J505" s="9"/>
      <c r="K505" s="2"/>
      <c r="L505" s="2" t="s">
        <v>17</v>
      </c>
    </row>
    <row r="506" spans="1:12">
      <c r="A506" s="14" t="s">
        <v>3823</v>
      </c>
      <c r="B506" s="2" t="s">
        <v>3824</v>
      </c>
      <c r="C506" s="2" t="s">
        <v>14</v>
      </c>
      <c r="D506" s="2" t="s">
        <v>15</v>
      </c>
      <c r="E506" s="2" t="s">
        <v>16</v>
      </c>
      <c r="F506" s="9">
        <v>46126</v>
      </c>
      <c r="G506" s="9">
        <v>46091</v>
      </c>
      <c r="H506" s="8">
        <v>9.7100000000000009</v>
      </c>
      <c r="I506" s="8"/>
      <c r="J506" s="9"/>
      <c r="K506" s="2"/>
      <c r="L506" s="2" t="s">
        <v>17</v>
      </c>
    </row>
    <row r="507" spans="1:12">
      <c r="A507" s="14" t="s">
        <v>3825</v>
      </c>
      <c r="B507" s="2" t="s">
        <v>3826</v>
      </c>
      <c r="C507" s="14" t="s">
        <v>3613</v>
      </c>
      <c r="D507" s="14" t="s">
        <v>15</v>
      </c>
      <c r="E507" s="14" t="s">
        <v>55</v>
      </c>
      <c r="F507" s="9">
        <v>46126</v>
      </c>
      <c r="G507" s="9">
        <v>46030</v>
      </c>
      <c r="H507" s="8">
        <v>554.47</v>
      </c>
      <c r="I507" s="16">
        <v>116.18</v>
      </c>
      <c r="J507" s="28">
        <v>46129</v>
      </c>
      <c r="K507" s="14" t="s">
        <v>3827</v>
      </c>
      <c r="L507" s="2" t="s">
        <v>17</v>
      </c>
    </row>
    <row r="508" spans="1:12">
      <c r="A508" s="14" t="s">
        <v>3828</v>
      </c>
      <c r="B508" s="2" t="s">
        <v>3829</v>
      </c>
      <c r="C508" s="14" t="s">
        <v>3613</v>
      </c>
      <c r="D508" s="14" t="s">
        <v>15</v>
      </c>
      <c r="E508" s="14" t="s">
        <v>55</v>
      </c>
      <c r="F508" s="9">
        <v>46127</v>
      </c>
      <c r="G508" s="9">
        <v>46030</v>
      </c>
      <c r="H508" s="16">
        <v>923.75</v>
      </c>
      <c r="I508" s="16">
        <v>134.63999999999999</v>
      </c>
      <c r="J508" s="28">
        <v>46132</v>
      </c>
      <c r="K508" s="14" t="s">
        <v>3830</v>
      </c>
      <c r="L508" s="2" t="s">
        <v>17</v>
      </c>
    </row>
    <row r="509" spans="1:12">
      <c r="A509" s="14" t="s">
        <v>3831</v>
      </c>
      <c r="B509" s="2" t="s">
        <v>3832</v>
      </c>
      <c r="C509" s="14" t="s">
        <v>3613</v>
      </c>
      <c r="D509" s="14" t="s">
        <v>15</v>
      </c>
      <c r="E509" s="14" t="s">
        <v>55</v>
      </c>
      <c r="F509" s="9">
        <v>46127</v>
      </c>
      <c r="G509" s="9">
        <v>46030</v>
      </c>
      <c r="H509" s="16">
        <v>199.98</v>
      </c>
      <c r="I509" s="16">
        <v>40</v>
      </c>
      <c r="J509" s="28">
        <v>46130</v>
      </c>
      <c r="K509" s="14" t="s">
        <v>3833</v>
      </c>
      <c r="L509" s="2" t="s">
        <v>17</v>
      </c>
    </row>
    <row r="510" spans="1:12">
      <c r="A510" s="14" t="s">
        <v>3834</v>
      </c>
      <c r="B510" s="2" t="s">
        <v>3835</v>
      </c>
      <c r="C510" s="14" t="s">
        <v>3613</v>
      </c>
      <c r="D510" s="14" t="s">
        <v>15</v>
      </c>
      <c r="E510" s="14" t="s">
        <v>55</v>
      </c>
      <c r="F510" s="9">
        <v>46126</v>
      </c>
      <c r="G510" s="9">
        <v>46030</v>
      </c>
      <c r="H510" s="16">
        <v>2753.7</v>
      </c>
      <c r="I510" s="16">
        <v>231.53</v>
      </c>
      <c r="J510" s="28">
        <v>46130</v>
      </c>
      <c r="K510" s="14" t="s">
        <v>3836</v>
      </c>
      <c r="L510" s="2" t="s">
        <v>17</v>
      </c>
    </row>
    <row r="511" spans="1:12">
      <c r="A511" s="14" t="s">
        <v>2976</v>
      </c>
      <c r="B511" s="2" t="s">
        <v>2977</v>
      </c>
      <c r="C511" s="14" t="s">
        <v>3613</v>
      </c>
      <c r="D511" s="2" t="s">
        <v>15</v>
      </c>
      <c r="E511" s="2" t="s">
        <v>55</v>
      </c>
      <c r="F511" s="9">
        <v>46128</v>
      </c>
      <c r="G511" s="9">
        <v>46037</v>
      </c>
      <c r="H511" s="16">
        <v>1489.7</v>
      </c>
      <c r="I511" s="8">
        <v>520.83000000000004</v>
      </c>
      <c r="J511" s="9">
        <v>46132</v>
      </c>
      <c r="K511" s="2" t="s">
        <v>3837</v>
      </c>
      <c r="L511" s="2" t="s">
        <v>17</v>
      </c>
    </row>
    <row r="512" spans="1:12">
      <c r="A512" s="14" t="s">
        <v>3838</v>
      </c>
      <c r="B512" s="2" t="s">
        <v>3839</v>
      </c>
      <c r="C512" s="14" t="s">
        <v>3613</v>
      </c>
      <c r="D512" s="2" t="s">
        <v>15</v>
      </c>
      <c r="E512" s="2" t="s">
        <v>55</v>
      </c>
      <c r="F512" s="9">
        <v>46128</v>
      </c>
      <c r="G512" s="9">
        <v>46037</v>
      </c>
      <c r="H512" s="16">
        <v>648.79999999999995</v>
      </c>
      <c r="I512" s="8">
        <v>207.85</v>
      </c>
      <c r="J512" s="9">
        <v>46132</v>
      </c>
      <c r="K512" s="2" t="s">
        <v>3840</v>
      </c>
      <c r="L512" s="2" t="s">
        <v>17</v>
      </c>
    </row>
    <row r="513" spans="1:12">
      <c r="A513" s="14" t="s">
        <v>3000</v>
      </c>
      <c r="B513" s="2" t="s">
        <v>3001</v>
      </c>
      <c r="C513" s="14" t="s">
        <v>3613</v>
      </c>
      <c r="D513" s="2" t="s">
        <v>15</v>
      </c>
      <c r="E513" s="2" t="s">
        <v>55</v>
      </c>
      <c r="F513" s="9">
        <v>46128</v>
      </c>
      <c r="G513" s="9">
        <v>46037</v>
      </c>
      <c r="H513" s="16">
        <v>1859.79</v>
      </c>
      <c r="I513" s="8">
        <v>659.68</v>
      </c>
      <c r="J513" s="9">
        <v>46132</v>
      </c>
      <c r="K513" s="2" t="s">
        <v>3841</v>
      </c>
      <c r="L513" s="2" t="s">
        <v>17</v>
      </c>
    </row>
    <row r="514" spans="1:12">
      <c r="A514" s="14" t="s">
        <v>3842</v>
      </c>
      <c r="B514" s="2" t="s">
        <v>3843</v>
      </c>
      <c r="C514" s="14" t="s">
        <v>3613</v>
      </c>
      <c r="D514" s="2" t="s">
        <v>15</v>
      </c>
      <c r="E514" s="2" t="s">
        <v>55</v>
      </c>
      <c r="F514" s="9">
        <v>46128</v>
      </c>
      <c r="G514" s="9">
        <v>46037</v>
      </c>
      <c r="H514" s="16">
        <v>581.64</v>
      </c>
      <c r="I514" s="8">
        <v>123.48</v>
      </c>
      <c r="J514" s="9">
        <v>46132</v>
      </c>
      <c r="K514" s="2" t="s">
        <v>3844</v>
      </c>
      <c r="L514" s="2" t="s">
        <v>17</v>
      </c>
    </row>
    <row r="515" spans="1:12">
      <c r="A515" s="14" t="s">
        <v>3845</v>
      </c>
      <c r="B515" s="2" t="s">
        <v>3846</v>
      </c>
      <c r="C515" s="14" t="s">
        <v>3613</v>
      </c>
      <c r="D515" s="2" t="s">
        <v>15</v>
      </c>
      <c r="E515" s="2" t="s">
        <v>58</v>
      </c>
      <c r="F515" s="9">
        <v>46127</v>
      </c>
      <c r="G515" s="9">
        <v>46037</v>
      </c>
      <c r="H515" s="16">
        <v>69.98</v>
      </c>
      <c r="I515" s="8">
        <v>13.16</v>
      </c>
      <c r="J515" s="28">
        <v>46130</v>
      </c>
      <c r="K515" s="2" t="s">
        <v>3847</v>
      </c>
      <c r="L515" s="2" t="s">
        <v>17</v>
      </c>
    </row>
    <row r="516" spans="1:12">
      <c r="A516" s="14" t="s">
        <v>3012</v>
      </c>
      <c r="B516" s="2" t="s">
        <v>3848</v>
      </c>
      <c r="C516" s="14" t="s">
        <v>14</v>
      </c>
      <c r="D516" s="2" t="s">
        <v>15</v>
      </c>
      <c r="E516" s="2" t="s">
        <v>58</v>
      </c>
      <c r="F516" s="9">
        <v>46129</v>
      </c>
      <c r="G516" s="9">
        <v>46096</v>
      </c>
      <c r="H516" s="8">
        <v>99.99</v>
      </c>
      <c r="I516" s="8">
        <v>41.19</v>
      </c>
      <c r="J516" s="9">
        <v>46134</v>
      </c>
      <c r="K516" s="2" t="s">
        <v>3849</v>
      </c>
      <c r="L516" s="2" t="s">
        <v>17</v>
      </c>
    </row>
    <row r="517" spans="1:12">
      <c r="A517" s="14" t="s">
        <v>3003</v>
      </c>
      <c r="B517" s="2" t="s">
        <v>3004</v>
      </c>
      <c r="C517" s="14" t="s">
        <v>14</v>
      </c>
      <c r="D517" s="2" t="s">
        <v>15</v>
      </c>
      <c r="E517" s="2" t="s">
        <v>2574</v>
      </c>
      <c r="F517" s="9">
        <v>46128</v>
      </c>
      <c r="G517" s="9">
        <v>46096</v>
      </c>
      <c r="H517" s="8">
        <v>109.99</v>
      </c>
      <c r="I517" s="8">
        <v>39.020000000000003</v>
      </c>
      <c r="J517" s="9">
        <v>46133</v>
      </c>
      <c r="K517" s="2" t="s">
        <v>3850</v>
      </c>
      <c r="L517" s="2" t="s">
        <v>17</v>
      </c>
    </row>
    <row r="518" spans="1:12">
      <c r="A518" s="14" t="s">
        <v>3006</v>
      </c>
      <c r="B518" s="2" t="s">
        <v>3007</v>
      </c>
      <c r="C518" s="14" t="s">
        <v>14</v>
      </c>
      <c r="D518" s="2" t="s">
        <v>15</v>
      </c>
      <c r="E518" s="2" t="s">
        <v>55</v>
      </c>
      <c r="F518" s="9">
        <v>46129</v>
      </c>
      <c r="G518" s="9">
        <v>46096</v>
      </c>
      <c r="H518" s="8">
        <v>139.99</v>
      </c>
      <c r="I518" s="8">
        <v>25.45</v>
      </c>
      <c r="J518" s="9">
        <v>46132</v>
      </c>
      <c r="K518" s="2" t="s">
        <v>3851</v>
      </c>
      <c r="L518" s="2" t="s">
        <v>17</v>
      </c>
    </row>
    <row r="519" spans="1:12">
      <c r="A519" s="14" t="s">
        <v>3852</v>
      </c>
      <c r="B519" s="2" t="s">
        <v>3853</v>
      </c>
      <c r="C519" s="14" t="s">
        <v>14</v>
      </c>
      <c r="D519" s="2" t="s">
        <v>15</v>
      </c>
      <c r="E519" s="2" t="s">
        <v>58</v>
      </c>
      <c r="F519" s="9">
        <v>46135</v>
      </c>
      <c r="G519" s="9">
        <v>46096</v>
      </c>
      <c r="H519" s="8">
        <v>112.92</v>
      </c>
      <c r="I519" s="8">
        <v>30</v>
      </c>
      <c r="J519" s="9">
        <v>46139</v>
      </c>
      <c r="K519" s="2" t="s">
        <v>3854</v>
      </c>
      <c r="L519" s="2" t="s">
        <v>17</v>
      </c>
    </row>
    <row r="520" spans="1:12">
      <c r="A520" s="14" t="s">
        <v>3026</v>
      </c>
      <c r="B520" s="2" t="s">
        <v>3027</v>
      </c>
      <c r="C520" s="14" t="s">
        <v>14</v>
      </c>
      <c r="D520" s="2" t="s">
        <v>15</v>
      </c>
      <c r="E520" s="2" t="s">
        <v>23</v>
      </c>
      <c r="F520" s="9">
        <v>46128</v>
      </c>
      <c r="G520" s="9">
        <v>46096</v>
      </c>
      <c r="H520" s="8">
        <v>102.16</v>
      </c>
      <c r="I520" s="8">
        <v>50</v>
      </c>
      <c r="J520" s="9">
        <v>46132</v>
      </c>
      <c r="K520" s="2" t="s">
        <v>3855</v>
      </c>
      <c r="L520" s="2" t="s">
        <v>17</v>
      </c>
    </row>
    <row r="521" spans="1:12">
      <c r="A521" s="14" t="s">
        <v>674</v>
      </c>
      <c r="B521" s="2" t="s">
        <v>675</v>
      </c>
      <c r="C521" s="14" t="s">
        <v>14</v>
      </c>
      <c r="D521" s="2" t="s">
        <v>15</v>
      </c>
      <c r="E521" s="2" t="s">
        <v>58</v>
      </c>
      <c r="F521" s="9">
        <v>46134</v>
      </c>
      <c r="G521" s="9">
        <v>46096</v>
      </c>
      <c r="H521" s="8">
        <v>85.13</v>
      </c>
      <c r="I521" s="8">
        <v>30</v>
      </c>
      <c r="J521" s="9">
        <v>46137</v>
      </c>
      <c r="K521" s="2" t="s">
        <v>3856</v>
      </c>
      <c r="L521" s="2" t="s">
        <v>17</v>
      </c>
    </row>
    <row r="522" spans="1:12">
      <c r="A522" s="14" t="s">
        <v>3105</v>
      </c>
      <c r="B522" s="2" t="s">
        <v>3106</v>
      </c>
      <c r="C522" s="14" t="s">
        <v>14</v>
      </c>
      <c r="D522" s="2" t="s">
        <v>15</v>
      </c>
      <c r="E522" s="2" t="s">
        <v>2574</v>
      </c>
      <c r="F522" s="9">
        <v>46139</v>
      </c>
      <c r="G522" s="9">
        <v>46096</v>
      </c>
      <c r="H522" s="8">
        <v>141.96</v>
      </c>
      <c r="I522" s="8">
        <v>57.49</v>
      </c>
      <c r="J522" s="9">
        <v>46142</v>
      </c>
      <c r="K522" s="2" t="s">
        <v>3857</v>
      </c>
      <c r="L522" s="2" t="s">
        <v>17</v>
      </c>
    </row>
    <row r="523" spans="1:12">
      <c r="A523" s="14" t="s">
        <v>3078</v>
      </c>
      <c r="B523" s="2" t="s">
        <v>3079</v>
      </c>
      <c r="C523" s="14" t="s">
        <v>14</v>
      </c>
      <c r="D523" s="2" t="s">
        <v>15</v>
      </c>
      <c r="E523" s="2" t="s">
        <v>58</v>
      </c>
      <c r="F523" s="9">
        <v>46129</v>
      </c>
      <c r="G523" s="9">
        <v>46096</v>
      </c>
      <c r="H523" s="8">
        <v>100.13</v>
      </c>
      <c r="I523" s="8">
        <v>61.45</v>
      </c>
      <c r="J523" s="9">
        <v>46132</v>
      </c>
      <c r="K523" s="2" t="s">
        <v>3858</v>
      </c>
      <c r="L523" s="2" t="s">
        <v>17</v>
      </c>
    </row>
    <row r="524" spans="1:12">
      <c r="A524" s="14" t="s">
        <v>3859</v>
      </c>
      <c r="B524" s="2" t="s">
        <v>3860</v>
      </c>
      <c r="C524" s="14" t="s">
        <v>14</v>
      </c>
      <c r="D524" s="2" t="s">
        <v>15</v>
      </c>
      <c r="E524" s="2" t="s">
        <v>2574</v>
      </c>
      <c r="F524" s="9">
        <v>46129</v>
      </c>
      <c r="G524" s="9">
        <v>46096</v>
      </c>
      <c r="H524" s="8">
        <v>109.99</v>
      </c>
      <c r="I524" s="8">
        <v>44.57</v>
      </c>
      <c r="J524" s="9">
        <v>46101</v>
      </c>
      <c r="K524" s="2" t="s">
        <v>3861</v>
      </c>
      <c r="L524" s="2" t="s">
        <v>17</v>
      </c>
    </row>
    <row r="525" spans="1:12">
      <c r="A525" s="14" t="s">
        <v>3075</v>
      </c>
      <c r="B525" s="2" t="s">
        <v>3076</v>
      </c>
      <c r="C525" s="14" t="s">
        <v>14</v>
      </c>
      <c r="D525" s="2" t="s">
        <v>15</v>
      </c>
      <c r="E525" s="2" t="s">
        <v>55</v>
      </c>
      <c r="F525" s="9">
        <v>46129</v>
      </c>
      <c r="G525" s="9">
        <v>46096</v>
      </c>
      <c r="H525" s="8">
        <v>99.99</v>
      </c>
      <c r="I525" s="8">
        <v>43.1</v>
      </c>
      <c r="J525" s="9">
        <v>46134</v>
      </c>
      <c r="K525" s="2" t="s">
        <v>3862</v>
      </c>
      <c r="L525" s="2" t="s">
        <v>17</v>
      </c>
    </row>
    <row r="526" spans="1:12">
      <c r="A526" s="14" t="s">
        <v>3863</v>
      </c>
      <c r="B526" s="2" t="s">
        <v>3864</v>
      </c>
      <c r="C526" s="14" t="s">
        <v>14</v>
      </c>
      <c r="D526" s="2" t="s">
        <v>15</v>
      </c>
      <c r="E526" s="2" t="s">
        <v>2851</v>
      </c>
      <c r="F526" s="9">
        <v>46134</v>
      </c>
      <c r="G526" s="9">
        <v>46096</v>
      </c>
      <c r="H526" s="8">
        <v>109.99</v>
      </c>
      <c r="I526" s="8">
        <v>22.72</v>
      </c>
      <c r="J526" s="9">
        <v>46138</v>
      </c>
      <c r="K526" s="2" t="s">
        <v>3865</v>
      </c>
      <c r="L526" s="2" t="s">
        <v>17</v>
      </c>
    </row>
    <row r="527" spans="1:12">
      <c r="A527" s="14" t="s">
        <v>3866</v>
      </c>
      <c r="B527" s="2" t="s">
        <v>3867</v>
      </c>
      <c r="C527" s="14" t="s">
        <v>14</v>
      </c>
      <c r="D527" s="2" t="s">
        <v>15</v>
      </c>
      <c r="E527" s="2" t="s">
        <v>58</v>
      </c>
      <c r="F527" s="9">
        <v>46135</v>
      </c>
      <c r="G527" s="9">
        <v>46096</v>
      </c>
      <c r="H527" s="8">
        <v>144.04</v>
      </c>
      <c r="I527" s="8">
        <v>43.72</v>
      </c>
      <c r="J527" s="9">
        <v>46139</v>
      </c>
      <c r="K527" s="2" t="s">
        <v>3868</v>
      </c>
      <c r="L527" s="2" t="s">
        <v>17</v>
      </c>
    </row>
    <row r="528" spans="1:12">
      <c r="A528" s="14" t="s">
        <v>3093</v>
      </c>
      <c r="B528" s="2" t="s">
        <v>3094</v>
      </c>
      <c r="C528" s="14" t="s">
        <v>14</v>
      </c>
      <c r="D528" s="2" t="s">
        <v>15</v>
      </c>
      <c r="E528" s="2" t="s">
        <v>23</v>
      </c>
      <c r="F528" s="9">
        <v>46129</v>
      </c>
      <c r="G528" s="9">
        <v>46096</v>
      </c>
      <c r="H528" s="8">
        <v>139.99</v>
      </c>
      <c r="I528" s="8">
        <v>63.31</v>
      </c>
      <c r="J528" s="9">
        <v>46103</v>
      </c>
      <c r="K528" s="2" t="s">
        <v>3869</v>
      </c>
      <c r="L528" s="2" t="s">
        <v>17</v>
      </c>
    </row>
    <row r="529" spans="1:12">
      <c r="A529" s="14" t="s">
        <v>3870</v>
      </c>
      <c r="B529" s="2" t="s">
        <v>3871</v>
      </c>
      <c r="C529" s="14" t="s">
        <v>14</v>
      </c>
      <c r="D529" s="2" t="s">
        <v>15</v>
      </c>
      <c r="E529" s="2" t="s">
        <v>23</v>
      </c>
      <c r="F529" s="9">
        <v>46129</v>
      </c>
      <c r="G529" s="9">
        <v>46096</v>
      </c>
      <c r="H529" s="8">
        <v>109.99</v>
      </c>
      <c r="I529" s="8">
        <v>30</v>
      </c>
      <c r="J529" s="9">
        <v>46132</v>
      </c>
      <c r="K529" s="2" t="s">
        <v>3872</v>
      </c>
      <c r="L529" s="2" t="s">
        <v>17</v>
      </c>
    </row>
    <row r="530" spans="1:12">
      <c r="A530" s="14" t="s">
        <v>3023</v>
      </c>
      <c r="B530" s="2" t="s">
        <v>3024</v>
      </c>
      <c r="C530" s="14" t="s">
        <v>14</v>
      </c>
      <c r="D530" s="2" t="s">
        <v>15</v>
      </c>
      <c r="E530" s="2" t="s">
        <v>55</v>
      </c>
      <c r="F530" s="9">
        <v>46129</v>
      </c>
      <c r="G530" s="9">
        <v>46096</v>
      </c>
      <c r="H530" s="8">
        <v>99.99</v>
      </c>
      <c r="I530" s="8">
        <v>31</v>
      </c>
      <c r="J530" s="9">
        <v>46132</v>
      </c>
      <c r="K530" s="2" t="s">
        <v>3873</v>
      </c>
      <c r="L530" s="2" t="s">
        <v>17</v>
      </c>
    </row>
    <row r="531" spans="1:12">
      <c r="A531" s="14" t="s">
        <v>711</v>
      </c>
      <c r="B531" s="2" t="s">
        <v>712</v>
      </c>
      <c r="C531" s="14" t="s">
        <v>14</v>
      </c>
      <c r="D531" s="2" t="s">
        <v>15</v>
      </c>
      <c r="E531" s="2" t="s">
        <v>23</v>
      </c>
      <c r="F531" s="9">
        <v>46132</v>
      </c>
      <c r="G531" s="9">
        <v>46096</v>
      </c>
      <c r="H531" s="8">
        <v>116.15</v>
      </c>
      <c r="I531" s="8"/>
      <c r="J531" s="9">
        <v>46134</v>
      </c>
      <c r="K531" s="2" t="s">
        <v>3874</v>
      </c>
      <c r="L531" s="2" t="s">
        <v>17</v>
      </c>
    </row>
    <row r="532" spans="1:12">
      <c r="A532" s="14" t="s">
        <v>3875</v>
      </c>
      <c r="B532" s="2" t="s">
        <v>3876</v>
      </c>
      <c r="C532" s="14" t="s">
        <v>14</v>
      </c>
      <c r="D532" s="2" t="s">
        <v>15</v>
      </c>
      <c r="E532" s="2" t="s">
        <v>16</v>
      </c>
      <c r="F532" s="9">
        <v>46128</v>
      </c>
      <c r="G532" s="9">
        <v>46096</v>
      </c>
      <c r="H532" s="8">
        <v>4.2300000000000004</v>
      </c>
      <c r="I532" s="8"/>
      <c r="J532" s="9"/>
      <c r="K532" s="2"/>
      <c r="L532" s="2" t="s">
        <v>17</v>
      </c>
    </row>
    <row r="533" spans="1:12">
      <c r="A533" s="14" t="s">
        <v>3877</v>
      </c>
      <c r="B533" s="2" t="s">
        <v>3878</v>
      </c>
      <c r="C533" s="14" t="s">
        <v>14</v>
      </c>
      <c r="D533" s="2" t="s">
        <v>15</v>
      </c>
      <c r="E533" s="2" t="s">
        <v>2851</v>
      </c>
      <c r="F533" s="9">
        <v>46129</v>
      </c>
      <c r="G533" s="9">
        <v>46096</v>
      </c>
      <c r="H533" s="8">
        <v>109.99</v>
      </c>
      <c r="I533" s="8">
        <v>44.4</v>
      </c>
      <c r="J533" s="9">
        <v>46132</v>
      </c>
      <c r="K533" s="2" t="s">
        <v>3879</v>
      </c>
      <c r="L533" s="2" t="s">
        <v>17</v>
      </c>
    </row>
    <row r="534" spans="1:12">
      <c r="A534" s="14" t="s">
        <v>746</v>
      </c>
      <c r="B534" s="2" t="s">
        <v>747</v>
      </c>
      <c r="C534" s="14" t="s">
        <v>14</v>
      </c>
      <c r="D534" s="2" t="s">
        <v>15</v>
      </c>
      <c r="E534" s="2" t="s">
        <v>3638</v>
      </c>
      <c r="F534" s="9">
        <v>46129</v>
      </c>
      <c r="G534" s="9">
        <v>46096</v>
      </c>
      <c r="H534" s="8">
        <v>109.99</v>
      </c>
      <c r="I534" s="8">
        <v>44.59</v>
      </c>
      <c r="J534" s="9">
        <v>46133</v>
      </c>
      <c r="K534" s="2" t="s">
        <v>3880</v>
      </c>
      <c r="L534" s="2" t="s">
        <v>17</v>
      </c>
    </row>
    <row r="535" spans="1:12">
      <c r="A535" s="14" t="s">
        <v>3881</v>
      </c>
      <c r="B535" s="2" t="s">
        <v>3882</v>
      </c>
      <c r="C535" s="14" t="s">
        <v>14</v>
      </c>
      <c r="D535" s="2" t="s">
        <v>15</v>
      </c>
      <c r="E535" s="2" t="s">
        <v>55</v>
      </c>
      <c r="F535" s="9">
        <v>46139</v>
      </c>
      <c r="G535" s="9">
        <v>46096</v>
      </c>
      <c r="H535" s="8">
        <v>88.74</v>
      </c>
      <c r="I535" s="8">
        <v>40.76</v>
      </c>
      <c r="J535" s="9">
        <v>46142</v>
      </c>
      <c r="K535" s="2" t="s">
        <v>3883</v>
      </c>
      <c r="L535" s="2" t="s">
        <v>17</v>
      </c>
    </row>
    <row r="536" spans="1:12">
      <c r="A536" s="14" t="s">
        <v>717</v>
      </c>
      <c r="B536" s="2" t="s">
        <v>718</v>
      </c>
      <c r="C536" s="14" t="s">
        <v>14</v>
      </c>
      <c r="D536" s="2" t="s">
        <v>15</v>
      </c>
      <c r="E536" s="2" t="s">
        <v>3638</v>
      </c>
      <c r="F536" s="9">
        <v>46139</v>
      </c>
      <c r="G536" s="9">
        <v>46096</v>
      </c>
      <c r="H536" s="8">
        <v>81.64</v>
      </c>
      <c r="I536" s="8">
        <v>30</v>
      </c>
      <c r="J536" s="9">
        <v>46142</v>
      </c>
      <c r="K536" s="2" t="s">
        <v>3884</v>
      </c>
      <c r="L536" s="2" t="s">
        <v>17</v>
      </c>
    </row>
    <row r="537" spans="1:12">
      <c r="A537" s="14" t="s">
        <v>3108</v>
      </c>
      <c r="B537" s="2" t="s">
        <v>3109</v>
      </c>
      <c r="C537" s="14" t="s">
        <v>14</v>
      </c>
      <c r="D537" s="2" t="s">
        <v>15</v>
      </c>
      <c r="E537" s="2" t="s">
        <v>55</v>
      </c>
      <c r="F537" s="9">
        <v>46134</v>
      </c>
      <c r="G537" s="9">
        <v>46096</v>
      </c>
      <c r="H537" s="8">
        <v>99.81</v>
      </c>
      <c r="I537" s="8">
        <v>43.49</v>
      </c>
      <c r="J537" s="9">
        <v>46137</v>
      </c>
      <c r="K537" s="2" t="s">
        <v>3885</v>
      </c>
      <c r="L537" s="2" t="s">
        <v>17</v>
      </c>
    </row>
    <row r="538" spans="1:12">
      <c r="A538" s="14" t="s">
        <v>3886</v>
      </c>
      <c r="B538" s="2" t="s">
        <v>3887</v>
      </c>
      <c r="C538" s="14" t="s">
        <v>14</v>
      </c>
      <c r="D538" s="2" t="s">
        <v>15</v>
      </c>
      <c r="E538" s="2" t="s">
        <v>2851</v>
      </c>
      <c r="F538" s="9">
        <v>46129</v>
      </c>
      <c r="G538" s="9">
        <v>46096</v>
      </c>
      <c r="H538" s="8">
        <v>93.11</v>
      </c>
      <c r="I538" s="8">
        <v>30</v>
      </c>
      <c r="J538" s="9">
        <v>46132</v>
      </c>
      <c r="K538" s="2" t="s">
        <v>3888</v>
      </c>
      <c r="L538" s="2" t="s">
        <v>17</v>
      </c>
    </row>
    <row r="539" spans="1:12">
      <c r="A539" s="14" t="s">
        <v>3090</v>
      </c>
      <c r="B539" s="2" t="s">
        <v>3091</v>
      </c>
      <c r="C539" s="14" t="s">
        <v>14</v>
      </c>
      <c r="D539" s="2" t="s">
        <v>15</v>
      </c>
      <c r="E539" s="2" t="s">
        <v>2703</v>
      </c>
      <c r="F539" s="9">
        <v>46129</v>
      </c>
      <c r="G539" s="9">
        <v>46096</v>
      </c>
      <c r="H539" s="8">
        <v>121.49</v>
      </c>
      <c r="I539" s="8">
        <v>46.32</v>
      </c>
      <c r="J539" s="9">
        <v>46134</v>
      </c>
      <c r="K539" s="2" t="s">
        <v>3889</v>
      </c>
      <c r="L539" s="2" t="s">
        <v>17</v>
      </c>
    </row>
    <row r="540" spans="1:12">
      <c r="A540" s="14" t="s">
        <v>3038</v>
      </c>
      <c r="B540" s="2" t="s">
        <v>3039</v>
      </c>
      <c r="C540" s="14" t="s">
        <v>14</v>
      </c>
      <c r="D540" s="2" t="s">
        <v>15</v>
      </c>
      <c r="E540" s="2" t="s">
        <v>58</v>
      </c>
      <c r="F540" s="9">
        <v>46129</v>
      </c>
      <c r="G540" s="9">
        <v>46096</v>
      </c>
      <c r="H540" s="8">
        <v>99.99</v>
      </c>
      <c r="I540" s="8">
        <v>25.99</v>
      </c>
      <c r="J540" s="9">
        <v>46134</v>
      </c>
      <c r="K540" s="2" t="s">
        <v>3890</v>
      </c>
      <c r="L540" s="2" t="s">
        <v>17</v>
      </c>
    </row>
    <row r="541" spans="1:12">
      <c r="A541" s="14" t="s">
        <v>3102</v>
      </c>
      <c r="B541" s="2" t="s">
        <v>3103</v>
      </c>
      <c r="C541" s="14" t="s">
        <v>14</v>
      </c>
      <c r="D541" s="2" t="s">
        <v>15</v>
      </c>
      <c r="E541" s="2" t="s">
        <v>55</v>
      </c>
      <c r="F541" s="9">
        <v>46129</v>
      </c>
      <c r="G541" s="9">
        <v>46096</v>
      </c>
      <c r="H541" s="8">
        <v>101.28</v>
      </c>
      <c r="I541" s="8">
        <v>20.88</v>
      </c>
      <c r="J541" s="9">
        <v>46132</v>
      </c>
      <c r="K541" s="2" t="s">
        <v>3891</v>
      </c>
      <c r="L541" s="2" t="s">
        <v>17</v>
      </c>
    </row>
    <row r="542" spans="1:12">
      <c r="A542" s="14" t="s">
        <v>3165</v>
      </c>
      <c r="B542" s="2" t="s">
        <v>3166</v>
      </c>
      <c r="C542" s="14" t="s">
        <v>14</v>
      </c>
      <c r="D542" s="2" t="s">
        <v>15</v>
      </c>
      <c r="E542" s="2" t="s">
        <v>55</v>
      </c>
      <c r="F542" s="9">
        <v>46129</v>
      </c>
      <c r="G542" s="9">
        <v>46096</v>
      </c>
      <c r="H542" s="8">
        <v>99.99</v>
      </c>
      <c r="I542" s="8">
        <v>41.42</v>
      </c>
      <c r="J542" s="9">
        <v>46134</v>
      </c>
      <c r="K542" s="2" t="s">
        <v>3892</v>
      </c>
      <c r="L542" s="2" t="s">
        <v>17</v>
      </c>
    </row>
    <row r="543" spans="1:12">
      <c r="A543" s="14" t="s">
        <v>3893</v>
      </c>
      <c r="B543" s="2" t="s">
        <v>3894</v>
      </c>
      <c r="C543" s="14" t="s">
        <v>14</v>
      </c>
      <c r="D543" s="2" t="s">
        <v>15</v>
      </c>
      <c r="E543" s="2" t="s">
        <v>2574</v>
      </c>
      <c r="F543" s="9">
        <v>46129</v>
      </c>
      <c r="G543" s="9">
        <v>46096</v>
      </c>
      <c r="H543" s="8">
        <v>139.99</v>
      </c>
      <c r="I543" s="8">
        <v>28.86</v>
      </c>
      <c r="J543" s="9">
        <v>46103</v>
      </c>
      <c r="K543" s="2" t="s">
        <v>3895</v>
      </c>
      <c r="L543" s="2" t="s">
        <v>17</v>
      </c>
    </row>
    <row r="544" spans="1:12">
      <c r="A544" s="14" t="s">
        <v>705</v>
      </c>
      <c r="B544" s="2" t="s">
        <v>706</v>
      </c>
      <c r="C544" s="14" t="s">
        <v>14</v>
      </c>
      <c r="D544" s="2" t="s">
        <v>15</v>
      </c>
      <c r="E544" s="2" t="s">
        <v>2574</v>
      </c>
      <c r="F544" s="9">
        <v>46134</v>
      </c>
      <c r="G544" s="9">
        <v>46096</v>
      </c>
      <c r="H544" s="8">
        <v>78.099999999999994</v>
      </c>
      <c r="I544" s="8">
        <v>38.619999999999997</v>
      </c>
      <c r="J544" s="9">
        <v>46136</v>
      </c>
      <c r="K544" s="2" t="s">
        <v>3896</v>
      </c>
      <c r="L544" s="2" t="s">
        <v>17</v>
      </c>
    </row>
    <row r="545" spans="1:12">
      <c r="A545" s="14" t="s">
        <v>3897</v>
      </c>
      <c r="B545" s="2" t="s">
        <v>3898</v>
      </c>
      <c r="C545" s="14" t="s">
        <v>14</v>
      </c>
      <c r="D545" s="2" t="s">
        <v>15</v>
      </c>
      <c r="E545" s="2" t="s">
        <v>55</v>
      </c>
      <c r="F545" s="9">
        <v>46134</v>
      </c>
      <c r="G545" s="9">
        <v>46096</v>
      </c>
      <c r="H545" s="8">
        <v>109.99</v>
      </c>
      <c r="I545" s="8">
        <v>22.72</v>
      </c>
      <c r="J545" s="9">
        <v>46137</v>
      </c>
      <c r="K545" s="2" t="s">
        <v>3899</v>
      </c>
      <c r="L545" s="2" t="s">
        <v>17</v>
      </c>
    </row>
    <row r="546" spans="1:12">
      <c r="A546" s="14" t="s">
        <v>3900</v>
      </c>
      <c r="B546" s="2" t="s">
        <v>3901</v>
      </c>
      <c r="C546" s="14" t="s">
        <v>14</v>
      </c>
      <c r="D546" s="2" t="s">
        <v>15</v>
      </c>
      <c r="E546" s="2" t="s">
        <v>55</v>
      </c>
      <c r="F546" s="9">
        <v>46129</v>
      </c>
      <c r="G546" s="9">
        <v>46096</v>
      </c>
      <c r="H546" s="8">
        <v>109.99</v>
      </c>
      <c r="I546" s="8">
        <v>48.02</v>
      </c>
      <c r="J546" s="9">
        <v>46134</v>
      </c>
      <c r="K546" s="2" t="s">
        <v>3902</v>
      </c>
      <c r="L546" s="2" t="s">
        <v>17</v>
      </c>
    </row>
    <row r="547" spans="1:12">
      <c r="A547" s="14" t="s">
        <v>3903</v>
      </c>
      <c r="B547" s="2" t="s">
        <v>3904</v>
      </c>
      <c r="C547" s="14" t="s">
        <v>14</v>
      </c>
      <c r="D547" s="2" t="s">
        <v>15</v>
      </c>
      <c r="E547" s="2" t="s">
        <v>2742</v>
      </c>
      <c r="F547" s="9">
        <v>46134</v>
      </c>
      <c r="G547" s="9">
        <v>46096</v>
      </c>
      <c r="H547" s="8">
        <v>109.82</v>
      </c>
      <c r="I547" s="8">
        <v>45.15</v>
      </c>
      <c r="J547" s="9">
        <v>46137</v>
      </c>
      <c r="K547" s="2" t="s">
        <v>3905</v>
      </c>
      <c r="L547" s="2" t="s">
        <v>17</v>
      </c>
    </row>
    <row r="548" spans="1:12">
      <c r="A548" s="14" t="s">
        <v>687</v>
      </c>
      <c r="B548" s="2" t="s">
        <v>688</v>
      </c>
      <c r="C548" s="14" t="s">
        <v>14</v>
      </c>
      <c r="D548" s="2" t="s">
        <v>15</v>
      </c>
      <c r="E548" s="2" t="s">
        <v>3638</v>
      </c>
      <c r="F548" s="9">
        <v>46134</v>
      </c>
      <c r="G548" s="9">
        <v>46096</v>
      </c>
      <c r="H548" s="8">
        <v>70.989999999999995</v>
      </c>
      <c r="I548" s="8">
        <v>37.15</v>
      </c>
      <c r="J548" s="9">
        <v>46137</v>
      </c>
      <c r="K548" s="2" t="s">
        <v>3906</v>
      </c>
      <c r="L548" s="2" t="s">
        <v>17</v>
      </c>
    </row>
    <row r="549" spans="1:12">
      <c r="A549" s="14" t="s">
        <v>3907</v>
      </c>
      <c r="B549" s="2" t="s">
        <v>3908</v>
      </c>
      <c r="C549" s="14" t="s">
        <v>14</v>
      </c>
      <c r="D549" s="2" t="s">
        <v>15</v>
      </c>
      <c r="E549" s="2" t="s">
        <v>55</v>
      </c>
      <c r="F549" s="9">
        <v>46135</v>
      </c>
      <c r="G549" s="9">
        <v>46096</v>
      </c>
      <c r="H549" s="8">
        <v>109.99</v>
      </c>
      <c r="I549" s="8">
        <v>29.16</v>
      </c>
      <c r="J549" s="9">
        <v>46139</v>
      </c>
      <c r="K549" s="2" t="s">
        <v>3909</v>
      </c>
      <c r="L549" s="2" t="s">
        <v>17</v>
      </c>
    </row>
    <row r="550" spans="1:12">
      <c r="A550" s="14" t="s">
        <v>3910</v>
      </c>
      <c r="B550" s="2" t="s">
        <v>3911</v>
      </c>
      <c r="C550" s="14" t="s">
        <v>14</v>
      </c>
      <c r="D550" s="2" t="s">
        <v>15</v>
      </c>
      <c r="E550" s="2" t="s">
        <v>2574</v>
      </c>
      <c r="F550" s="9">
        <v>46132</v>
      </c>
      <c r="G550" s="9">
        <v>46096</v>
      </c>
      <c r="H550" s="8">
        <v>109.99</v>
      </c>
      <c r="I550" s="8">
        <v>22.7</v>
      </c>
      <c r="J550" s="9">
        <v>46136</v>
      </c>
      <c r="K550" s="2" t="s">
        <v>3912</v>
      </c>
      <c r="L550" s="2" t="s">
        <v>17</v>
      </c>
    </row>
    <row r="551" spans="1:12">
      <c r="A551" s="14" t="s">
        <v>820</v>
      </c>
      <c r="B551" s="2" t="s">
        <v>821</v>
      </c>
      <c r="C551" s="14" t="s">
        <v>14</v>
      </c>
      <c r="D551" s="2" t="s">
        <v>15</v>
      </c>
      <c r="E551" s="2" t="s">
        <v>55</v>
      </c>
      <c r="F551" s="9">
        <v>46135</v>
      </c>
      <c r="G551" s="9">
        <v>46096</v>
      </c>
      <c r="H551" s="8">
        <v>99.99</v>
      </c>
      <c r="I551" s="8">
        <v>30.71</v>
      </c>
      <c r="J551" s="9">
        <v>46139</v>
      </c>
      <c r="K551" s="2" t="s">
        <v>3913</v>
      </c>
      <c r="L551" s="2" t="s">
        <v>17</v>
      </c>
    </row>
    <row r="552" spans="1:12">
      <c r="A552" s="14" t="s">
        <v>3383</v>
      </c>
      <c r="B552" s="2" t="s">
        <v>3384</v>
      </c>
      <c r="C552" s="14" t="s">
        <v>14</v>
      </c>
      <c r="D552" s="2" t="s">
        <v>15</v>
      </c>
      <c r="E552" s="2" t="s">
        <v>55</v>
      </c>
      <c r="F552" s="9">
        <v>46132</v>
      </c>
      <c r="G552" s="9">
        <v>46096</v>
      </c>
      <c r="H552" s="8">
        <v>101.5</v>
      </c>
      <c r="I552" s="8">
        <v>29.24</v>
      </c>
      <c r="J552" s="9">
        <v>46137</v>
      </c>
      <c r="K552" s="2" t="s">
        <v>3914</v>
      </c>
      <c r="L552" s="2" t="s">
        <v>17</v>
      </c>
    </row>
    <row r="553" spans="1:12">
      <c r="A553" s="14" t="s">
        <v>812</v>
      </c>
      <c r="B553" s="2" t="s">
        <v>813</v>
      </c>
      <c r="C553" s="14" t="s">
        <v>14</v>
      </c>
      <c r="D553" s="2" t="s">
        <v>15</v>
      </c>
      <c r="E553" s="2" t="s">
        <v>58</v>
      </c>
      <c r="F553" s="9">
        <v>46132</v>
      </c>
      <c r="G553" s="9">
        <v>46096</v>
      </c>
      <c r="H553" s="8">
        <v>129.99</v>
      </c>
      <c r="I553" s="8">
        <v>44.74</v>
      </c>
      <c r="J553" s="9">
        <v>46137</v>
      </c>
      <c r="K553" s="2" t="s">
        <v>3915</v>
      </c>
      <c r="L553" s="2" t="s">
        <v>17</v>
      </c>
    </row>
    <row r="554" spans="1:12">
      <c r="A554" s="14" t="s">
        <v>3238</v>
      </c>
      <c r="B554" s="2" t="s">
        <v>3239</v>
      </c>
      <c r="C554" s="14" t="s">
        <v>14</v>
      </c>
      <c r="D554" s="2" t="s">
        <v>15</v>
      </c>
      <c r="E554" s="2" t="s">
        <v>58</v>
      </c>
      <c r="F554" s="9">
        <v>46132</v>
      </c>
      <c r="G554" s="9">
        <v>46096</v>
      </c>
      <c r="H554" s="8">
        <v>112.28</v>
      </c>
      <c r="I554" s="8">
        <v>44.68</v>
      </c>
      <c r="J554" s="9">
        <v>46137</v>
      </c>
      <c r="K554" s="2" t="s">
        <v>3916</v>
      </c>
      <c r="L554" s="2" t="s">
        <v>17</v>
      </c>
    </row>
    <row r="555" spans="1:12">
      <c r="A555" s="14" t="s">
        <v>817</v>
      </c>
      <c r="B555" s="2" t="s">
        <v>818</v>
      </c>
      <c r="C555" s="14" t="s">
        <v>14</v>
      </c>
      <c r="D555" s="2" t="s">
        <v>15</v>
      </c>
      <c r="E555" s="2" t="s">
        <v>16</v>
      </c>
      <c r="F555" s="9">
        <v>46128</v>
      </c>
      <c r="G555" s="9">
        <v>46096</v>
      </c>
      <c r="H555" s="8">
        <v>49.99</v>
      </c>
      <c r="I555" s="8"/>
      <c r="J555" s="9"/>
      <c r="K555" s="2"/>
      <c r="L555" s="2" t="s">
        <v>17</v>
      </c>
    </row>
    <row r="556" spans="1:12">
      <c r="A556" s="14" t="s">
        <v>3168</v>
      </c>
      <c r="B556" s="2" t="s">
        <v>3169</v>
      </c>
      <c r="C556" s="14" t="s">
        <v>14</v>
      </c>
      <c r="D556" s="2" t="s">
        <v>15</v>
      </c>
      <c r="E556" s="2" t="s">
        <v>16</v>
      </c>
      <c r="F556" s="9">
        <v>46128</v>
      </c>
      <c r="G556" s="9">
        <v>46096</v>
      </c>
      <c r="H556" s="8">
        <v>1.54</v>
      </c>
      <c r="I556" s="8"/>
      <c r="J556" s="9"/>
      <c r="K556" s="2"/>
      <c r="L556" s="2" t="s">
        <v>17</v>
      </c>
    </row>
    <row r="557" spans="1:12">
      <c r="A557" s="14" t="s">
        <v>3421</v>
      </c>
      <c r="B557" s="2" t="s">
        <v>3422</v>
      </c>
      <c r="C557" s="14" t="s">
        <v>14</v>
      </c>
      <c r="D557" s="2" t="s">
        <v>15</v>
      </c>
      <c r="E557" s="2" t="s">
        <v>58</v>
      </c>
      <c r="F557" s="9">
        <v>46132</v>
      </c>
      <c r="G557" s="9">
        <v>46096</v>
      </c>
      <c r="H557" s="8">
        <v>101.32</v>
      </c>
      <c r="I557" s="8">
        <v>42.01</v>
      </c>
      <c r="J557" s="9">
        <v>46136</v>
      </c>
      <c r="K557" s="2" t="s">
        <v>3917</v>
      </c>
      <c r="L557" s="2" t="s">
        <v>17</v>
      </c>
    </row>
    <row r="558" spans="1:12">
      <c r="A558" s="14" t="s">
        <v>3918</v>
      </c>
      <c r="B558" s="2" t="s">
        <v>3919</v>
      </c>
      <c r="C558" s="14" t="s">
        <v>14</v>
      </c>
      <c r="D558" s="2" t="s">
        <v>15</v>
      </c>
      <c r="E558" s="2" t="s">
        <v>2851</v>
      </c>
      <c r="F558" s="9">
        <v>46132</v>
      </c>
      <c r="G558" s="9">
        <v>46096</v>
      </c>
      <c r="H558" s="8">
        <v>92.3</v>
      </c>
      <c r="I558" s="8">
        <v>19.05</v>
      </c>
      <c r="J558" s="9">
        <v>46136</v>
      </c>
      <c r="K558" s="2" t="s">
        <v>3920</v>
      </c>
      <c r="L558" s="2" t="s">
        <v>17</v>
      </c>
    </row>
    <row r="559" spans="1:12">
      <c r="A559" s="14" t="s">
        <v>2298</v>
      </c>
      <c r="B559" s="2" t="s">
        <v>2299</v>
      </c>
      <c r="C559" s="14" t="s">
        <v>14</v>
      </c>
      <c r="D559" s="2" t="s">
        <v>15</v>
      </c>
      <c r="E559" s="2" t="s">
        <v>16</v>
      </c>
      <c r="F559" s="9">
        <v>46128</v>
      </c>
      <c r="G559" s="9">
        <v>46096</v>
      </c>
      <c r="H559" s="8">
        <v>7.11</v>
      </c>
      <c r="I559" s="8"/>
      <c r="J559" s="9"/>
      <c r="K559" s="2"/>
      <c r="L559" s="2" t="s">
        <v>17</v>
      </c>
    </row>
    <row r="560" spans="1:12">
      <c r="A560" s="14" t="s">
        <v>3921</v>
      </c>
      <c r="B560" s="2" t="s">
        <v>3922</v>
      </c>
      <c r="C560" s="14" t="s">
        <v>14</v>
      </c>
      <c r="D560" s="2" t="s">
        <v>15</v>
      </c>
      <c r="E560" s="2" t="s">
        <v>2851</v>
      </c>
      <c r="F560" s="9">
        <v>46135</v>
      </c>
      <c r="G560" s="9">
        <v>46096</v>
      </c>
      <c r="H560" s="8">
        <v>109.99</v>
      </c>
      <c r="I560" s="8">
        <v>45.22</v>
      </c>
      <c r="J560" s="9">
        <v>46139</v>
      </c>
      <c r="K560" s="2" t="s">
        <v>3923</v>
      </c>
      <c r="L560" s="2" t="s">
        <v>17</v>
      </c>
    </row>
    <row r="561" spans="1:12">
      <c r="A561" s="14" t="s">
        <v>3924</v>
      </c>
      <c r="B561" s="2" t="s">
        <v>3925</v>
      </c>
      <c r="C561" s="14" t="s">
        <v>14</v>
      </c>
      <c r="D561" s="2" t="s">
        <v>15</v>
      </c>
      <c r="E561" s="2" t="s">
        <v>2742</v>
      </c>
      <c r="F561" s="9">
        <v>46134</v>
      </c>
      <c r="G561" s="9">
        <v>46096</v>
      </c>
      <c r="H561" s="8">
        <v>100.8</v>
      </c>
      <c r="I561" s="8">
        <v>20.9</v>
      </c>
      <c r="J561" s="9">
        <v>46137</v>
      </c>
      <c r="K561" s="2" t="s">
        <v>3926</v>
      </c>
      <c r="L561" s="2" t="s">
        <v>17</v>
      </c>
    </row>
    <row r="562" spans="1:12">
      <c r="A562" s="14" t="s">
        <v>3199</v>
      </c>
      <c r="B562" s="2" t="s">
        <v>3200</v>
      </c>
      <c r="C562" s="14" t="s">
        <v>14</v>
      </c>
      <c r="D562" s="2" t="s">
        <v>15</v>
      </c>
      <c r="E562" s="2" t="s">
        <v>55</v>
      </c>
      <c r="F562" s="9">
        <v>46134</v>
      </c>
      <c r="G562" s="9">
        <v>46096</v>
      </c>
      <c r="H562" s="8">
        <v>101.15</v>
      </c>
      <c r="I562" s="8">
        <v>18.71</v>
      </c>
      <c r="J562" s="9">
        <v>46137</v>
      </c>
      <c r="K562" s="2" t="s">
        <v>3927</v>
      </c>
      <c r="L562" s="2" t="s">
        <v>17</v>
      </c>
    </row>
    <row r="563" spans="1:12">
      <c r="A563" s="14" t="s">
        <v>3928</v>
      </c>
      <c r="B563" s="2" t="s">
        <v>3929</v>
      </c>
      <c r="C563" s="14" t="s">
        <v>14</v>
      </c>
      <c r="D563" s="2" t="s">
        <v>15</v>
      </c>
      <c r="E563" s="2" t="s">
        <v>55</v>
      </c>
      <c r="F563" s="9">
        <v>46136</v>
      </c>
      <c r="G563" s="9">
        <v>46096</v>
      </c>
      <c r="H563" s="8">
        <v>69.989999999999995</v>
      </c>
      <c r="I563" s="8">
        <v>28.8</v>
      </c>
      <c r="J563" s="9">
        <v>46140</v>
      </c>
      <c r="K563" s="2" t="s">
        <v>3930</v>
      </c>
      <c r="L563" s="2" t="s">
        <v>17</v>
      </c>
    </row>
    <row r="564" spans="1:12">
      <c r="A564" s="14" t="s">
        <v>3931</v>
      </c>
      <c r="B564" s="2" t="s">
        <v>3932</v>
      </c>
      <c r="C564" s="14" t="s">
        <v>14</v>
      </c>
      <c r="D564" s="2" t="s">
        <v>15</v>
      </c>
      <c r="E564" s="2" t="s">
        <v>3342</v>
      </c>
      <c r="F564" s="9">
        <v>46135</v>
      </c>
      <c r="G564" s="9">
        <v>46096</v>
      </c>
      <c r="H564" s="8">
        <v>100.14</v>
      </c>
      <c r="I564" s="8">
        <v>30</v>
      </c>
      <c r="J564" s="9">
        <v>46140</v>
      </c>
      <c r="K564" s="2" t="s">
        <v>3933</v>
      </c>
      <c r="L564" s="2" t="s">
        <v>17</v>
      </c>
    </row>
    <row r="565" spans="1:12">
      <c r="A565" s="14" t="s">
        <v>3350</v>
      </c>
      <c r="B565" s="2" t="s">
        <v>3351</v>
      </c>
      <c r="C565" s="14" t="s">
        <v>14</v>
      </c>
      <c r="D565" s="2" t="s">
        <v>15</v>
      </c>
      <c r="E565" s="2" t="s">
        <v>3638</v>
      </c>
      <c r="F565" s="9">
        <v>46134</v>
      </c>
      <c r="G565" s="9">
        <v>46096</v>
      </c>
      <c r="H565" s="8">
        <v>122.6</v>
      </c>
      <c r="I565" s="8">
        <v>67.23</v>
      </c>
      <c r="J565" s="9">
        <v>46139</v>
      </c>
      <c r="K565" s="2" t="s">
        <v>3934</v>
      </c>
      <c r="L565" s="2" t="s">
        <v>17</v>
      </c>
    </row>
    <row r="566" spans="1:12">
      <c r="A566" s="14" t="s">
        <v>3197</v>
      </c>
      <c r="B566" s="2" t="s">
        <v>3198</v>
      </c>
      <c r="C566" s="14" t="s">
        <v>14</v>
      </c>
      <c r="D566" s="2" t="s">
        <v>15</v>
      </c>
      <c r="E566" s="2" t="s">
        <v>2574</v>
      </c>
      <c r="F566" s="9">
        <v>46134</v>
      </c>
      <c r="G566" s="9">
        <v>46096</v>
      </c>
      <c r="H566" s="8">
        <v>99.99</v>
      </c>
      <c r="I566" s="8">
        <v>13.69</v>
      </c>
      <c r="J566" s="9">
        <v>46136</v>
      </c>
      <c r="K566" s="2" t="s">
        <v>3935</v>
      </c>
      <c r="L566" s="2" t="s">
        <v>17</v>
      </c>
    </row>
    <row r="567" spans="1:12">
      <c r="A567" s="14" t="s">
        <v>843</v>
      </c>
      <c r="B567" s="2" t="s">
        <v>844</v>
      </c>
      <c r="C567" s="14" t="s">
        <v>14</v>
      </c>
      <c r="D567" s="2" t="s">
        <v>15</v>
      </c>
      <c r="E567" s="2" t="s">
        <v>2703</v>
      </c>
      <c r="F567" s="9">
        <v>46135</v>
      </c>
      <c r="G567" s="9">
        <v>46096</v>
      </c>
      <c r="H567" s="8">
        <v>61.96</v>
      </c>
      <c r="I567" s="8">
        <v>20</v>
      </c>
      <c r="J567" s="9">
        <v>46140</v>
      </c>
      <c r="K567" s="2" t="s">
        <v>3936</v>
      </c>
      <c r="L567" s="2" t="s">
        <v>17</v>
      </c>
    </row>
    <row r="568" spans="1:12">
      <c r="A568" s="14" t="s">
        <v>3937</v>
      </c>
      <c r="B568" s="2" t="s">
        <v>3938</v>
      </c>
      <c r="C568" s="14" t="s">
        <v>14</v>
      </c>
      <c r="D568" s="2" t="s">
        <v>15</v>
      </c>
      <c r="E568" s="2" t="s">
        <v>2574</v>
      </c>
      <c r="F568" s="9">
        <v>46136</v>
      </c>
      <c r="G568" s="9">
        <v>46096</v>
      </c>
      <c r="H568" s="8">
        <v>100.15</v>
      </c>
      <c r="I568" s="8">
        <v>40</v>
      </c>
      <c r="J568" s="9">
        <v>46140</v>
      </c>
      <c r="K568" s="2" t="s">
        <v>3939</v>
      </c>
      <c r="L568" s="2" t="s">
        <v>17</v>
      </c>
    </row>
    <row r="569" spans="1:12">
      <c r="A569" s="14" t="s">
        <v>3427</v>
      </c>
      <c r="B569" s="2" t="s">
        <v>3428</v>
      </c>
      <c r="C569" s="14" t="s">
        <v>14</v>
      </c>
      <c r="D569" s="2" t="s">
        <v>15</v>
      </c>
      <c r="E569" s="2" t="s">
        <v>2574</v>
      </c>
      <c r="F569" s="9">
        <v>46135</v>
      </c>
      <c r="G569" s="9">
        <v>46096</v>
      </c>
      <c r="H569" s="8">
        <v>109.99</v>
      </c>
      <c r="I569" s="8">
        <v>55</v>
      </c>
      <c r="J569" s="9">
        <v>46140</v>
      </c>
      <c r="K569" s="2" t="s">
        <v>3940</v>
      </c>
      <c r="L569" s="2" t="s">
        <v>17</v>
      </c>
    </row>
    <row r="570" spans="1:12">
      <c r="A570" s="14" t="s">
        <v>3407</v>
      </c>
      <c r="B570" s="2" t="s">
        <v>3408</v>
      </c>
      <c r="C570" s="14" t="s">
        <v>14</v>
      </c>
      <c r="D570" s="2" t="s">
        <v>15</v>
      </c>
      <c r="E570" s="2" t="s">
        <v>58</v>
      </c>
      <c r="F570" s="9">
        <v>46136</v>
      </c>
      <c r="G570" s="9">
        <v>46096</v>
      </c>
      <c r="H570" s="8">
        <v>109.99</v>
      </c>
      <c r="I570" s="8">
        <v>37.36</v>
      </c>
      <c r="J570" s="9">
        <v>46140</v>
      </c>
      <c r="K570" s="2" t="s">
        <v>3941</v>
      </c>
      <c r="L570" s="2" t="s">
        <v>17</v>
      </c>
    </row>
    <row r="571" spans="1:12">
      <c r="A571" s="14" t="s">
        <v>948</v>
      </c>
      <c r="B571" s="2" t="s">
        <v>949</v>
      </c>
      <c r="C571" s="14" t="s">
        <v>14</v>
      </c>
      <c r="D571" s="2" t="s">
        <v>15</v>
      </c>
      <c r="F571" s="9">
        <v>46170</v>
      </c>
      <c r="G571" s="9">
        <v>46096</v>
      </c>
      <c r="H571" s="8">
        <v>112.26</v>
      </c>
      <c r="I571" s="8"/>
      <c r="J571" s="9"/>
      <c r="K571" s="2"/>
      <c r="L571" s="2" t="s">
        <v>17</v>
      </c>
    </row>
    <row r="572" spans="1:12">
      <c r="A572" s="14" t="s">
        <v>3942</v>
      </c>
      <c r="B572" s="2" t="s">
        <v>3943</v>
      </c>
      <c r="C572" s="14" t="s">
        <v>14</v>
      </c>
      <c r="D572" s="2" t="s">
        <v>15</v>
      </c>
      <c r="E572" s="2" t="s">
        <v>58</v>
      </c>
      <c r="F572" s="9">
        <v>46135</v>
      </c>
      <c r="G572" s="9">
        <v>46096</v>
      </c>
      <c r="H572" s="8">
        <v>112.23</v>
      </c>
      <c r="I572" s="8">
        <v>34.26</v>
      </c>
      <c r="J572" s="9">
        <v>46139</v>
      </c>
      <c r="K572" s="2" t="s">
        <v>3944</v>
      </c>
      <c r="L572" s="2" t="s">
        <v>17</v>
      </c>
    </row>
    <row r="573" spans="1:12">
      <c r="A573" s="14" t="s">
        <v>942</v>
      </c>
      <c r="B573" s="2" t="s">
        <v>943</v>
      </c>
      <c r="C573" s="14" t="s">
        <v>14</v>
      </c>
      <c r="D573" s="2" t="s">
        <v>15</v>
      </c>
      <c r="E573" s="2" t="s">
        <v>23</v>
      </c>
      <c r="F573" s="9">
        <v>46135</v>
      </c>
      <c r="G573" s="9">
        <v>46096</v>
      </c>
      <c r="H573" s="8">
        <v>109.99</v>
      </c>
      <c r="I573" s="8">
        <v>46.16</v>
      </c>
      <c r="J573" s="9">
        <v>46140</v>
      </c>
      <c r="K573" s="2" t="s">
        <v>3945</v>
      </c>
      <c r="L573" s="2" t="s">
        <v>17</v>
      </c>
    </row>
    <row r="574" spans="1:12">
      <c r="A574" s="14" t="s">
        <v>3320</v>
      </c>
      <c r="B574" s="2" t="s">
        <v>3321</v>
      </c>
      <c r="C574" s="14" t="s">
        <v>14</v>
      </c>
      <c r="D574" s="2" t="s">
        <v>15</v>
      </c>
      <c r="E574" s="2" t="s">
        <v>58</v>
      </c>
      <c r="F574" s="9">
        <v>46135</v>
      </c>
      <c r="G574" s="9">
        <v>46096</v>
      </c>
      <c r="H574" s="8">
        <v>120.73</v>
      </c>
      <c r="I574" s="8">
        <v>48.22</v>
      </c>
      <c r="J574" s="9">
        <v>46140</v>
      </c>
      <c r="K574" s="2" t="s">
        <v>3946</v>
      </c>
      <c r="L574" s="2" t="s">
        <v>17</v>
      </c>
    </row>
    <row r="575" spans="1:12">
      <c r="A575" s="14" t="s">
        <v>925</v>
      </c>
      <c r="B575" s="2" t="s">
        <v>926</v>
      </c>
      <c r="C575" s="14" t="s">
        <v>14</v>
      </c>
      <c r="D575" s="2" t="s">
        <v>15</v>
      </c>
      <c r="E575" s="2" t="s">
        <v>55</v>
      </c>
      <c r="F575" s="9">
        <v>46139</v>
      </c>
      <c r="G575" s="9">
        <v>46096</v>
      </c>
      <c r="H575" s="8">
        <v>99.37</v>
      </c>
      <c r="I575" s="8">
        <v>30</v>
      </c>
      <c r="J575" s="9">
        <v>46142</v>
      </c>
      <c r="K575" s="2" t="s">
        <v>3947</v>
      </c>
      <c r="L575" s="2" t="s">
        <v>17</v>
      </c>
    </row>
    <row r="576" spans="1:12">
      <c r="A576" s="14" t="s">
        <v>3326</v>
      </c>
      <c r="B576" s="2" t="s">
        <v>3327</v>
      </c>
      <c r="C576" s="14" t="s">
        <v>14</v>
      </c>
      <c r="D576" s="2" t="s">
        <v>15</v>
      </c>
      <c r="E576" s="2" t="s">
        <v>58</v>
      </c>
      <c r="F576" s="9">
        <v>46136</v>
      </c>
      <c r="G576" s="9">
        <v>46096</v>
      </c>
      <c r="H576" s="8">
        <v>99.99</v>
      </c>
      <c r="I576" s="8">
        <v>43.5</v>
      </c>
      <c r="J576" s="9">
        <v>46139</v>
      </c>
      <c r="K576" s="2" t="s">
        <v>3948</v>
      </c>
      <c r="L576" s="2" t="s">
        <v>17</v>
      </c>
    </row>
    <row r="577" spans="1:12">
      <c r="A577" s="14" t="s">
        <v>3223</v>
      </c>
      <c r="B577" s="2" t="s">
        <v>3224</v>
      </c>
      <c r="C577" s="14" t="s">
        <v>14</v>
      </c>
      <c r="D577" s="2" t="s">
        <v>15</v>
      </c>
      <c r="E577" s="2" t="s">
        <v>55</v>
      </c>
      <c r="F577" s="9">
        <v>46135</v>
      </c>
      <c r="G577" s="9">
        <v>46096</v>
      </c>
      <c r="H577" s="8">
        <v>99.99</v>
      </c>
      <c r="I577" s="8">
        <v>41.49</v>
      </c>
      <c r="J577" s="9">
        <v>46139</v>
      </c>
      <c r="K577" s="2" t="s">
        <v>3949</v>
      </c>
      <c r="L577" s="2" t="s">
        <v>17</v>
      </c>
    </row>
    <row r="578" spans="1:12">
      <c r="A578" s="14" t="s">
        <v>2313</v>
      </c>
      <c r="B578" s="2" t="s">
        <v>2314</v>
      </c>
      <c r="C578" s="14" t="s">
        <v>14</v>
      </c>
      <c r="D578" s="2" t="s">
        <v>15</v>
      </c>
      <c r="E578" s="2" t="s">
        <v>16</v>
      </c>
      <c r="F578" s="9">
        <v>46128</v>
      </c>
      <c r="G578" s="9">
        <v>46096</v>
      </c>
      <c r="H578" s="8">
        <v>7.11</v>
      </c>
      <c r="I578" s="8"/>
      <c r="J578" s="9"/>
      <c r="K578" s="2"/>
      <c r="L578" s="2" t="s">
        <v>17</v>
      </c>
    </row>
    <row r="579" spans="1:12">
      <c r="A579" s="14" t="s">
        <v>3314</v>
      </c>
      <c r="B579" s="2" t="s">
        <v>3315</v>
      </c>
      <c r="C579" s="14" t="s">
        <v>14</v>
      </c>
      <c r="D579" s="2" t="s">
        <v>15</v>
      </c>
      <c r="E579" s="2" t="s">
        <v>3638</v>
      </c>
      <c r="F579" s="9">
        <v>46135</v>
      </c>
      <c r="G579" s="9">
        <v>46096</v>
      </c>
      <c r="H579" s="8">
        <v>94.6</v>
      </c>
      <c r="I579" s="8">
        <v>38.47</v>
      </c>
      <c r="J579" s="9">
        <v>46139</v>
      </c>
      <c r="K579" s="2" t="s">
        <v>3950</v>
      </c>
      <c r="L579" s="2" t="s">
        <v>17</v>
      </c>
    </row>
    <row r="580" spans="1:12">
      <c r="A580" s="14" t="s">
        <v>900</v>
      </c>
      <c r="B580" s="2" t="s">
        <v>901</v>
      </c>
      <c r="C580" s="14" t="s">
        <v>14</v>
      </c>
      <c r="D580" s="2" t="s">
        <v>15</v>
      </c>
      <c r="E580" s="2" t="s">
        <v>2851</v>
      </c>
      <c r="F580" s="9">
        <v>46135</v>
      </c>
      <c r="G580" s="9">
        <v>46096</v>
      </c>
      <c r="H580" s="8">
        <v>99.99</v>
      </c>
      <c r="I580" s="8">
        <v>40</v>
      </c>
      <c r="J580" s="9">
        <v>46139</v>
      </c>
      <c r="K580" s="2" t="s">
        <v>3951</v>
      </c>
      <c r="L580" s="2" t="s">
        <v>17</v>
      </c>
    </row>
    <row r="581" spans="1:12">
      <c r="A581" s="14" t="s">
        <v>3952</v>
      </c>
      <c r="B581" s="2" t="s">
        <v>3953</v>
      </c>
      <c r="C581" s="14" t="s">
        <v>14</v>
      </c>
      <c r="D581" s="2" t="s">
        <v>15</v>
      </c>
      <c r="E581" s="2" t="s">
        <v>16</v>
      </c>
      <c r="F581" s="9">
        <v>46128</v>
      </c>
      <c r="G581" s="9">
        <v>46096</v>
      </c>
      <c r="H581" s="8">
        <v>4.2300000000000004</v>
      </c>
      <c r="I581" s="8"/>
      <c r="J581" s="9"/>
      <c r="K581" s="2"/>
      <c r="L581" s="2" t="s">
        <v>17</v>
      </c>
    </row>
    <row r="582" spans="1:12">
      <c r="A582" s="14" t="s">
        <v>3954</v>
      </c>
      <c r="B582" s="2" t="s">
        <v>3955</v>
      </c>
      <c r="C582" s="14" t="s">
        <v>14</v>
      </c>
      <c r="D582" s="2" t="s">
        <v>15</v>
      </c>
      <c r="E582" s="2" t="s">
        <v>23</v>
      </c>
      <c r="F582" s="9">
        <v>46135</v>
      </c>
      <c r="G582" s="9">
        <v>46096</v>
      </c>
      <c r="H582" s="8">
        <v>109.99</v>
      </c>
      <c r="I582" s="8">
        <v>45.38</v>
      </c>
      <c r="J582" s="9">
        <v>46139</v>
      </c>
      <c r="K582" s="2" t="s">
        <v>3956</v>
      </c>
      <c r="L582" s="2" t="s">
        <v>17</v>
      </c>
    </row>
    <row r="583" spans="1:12">
      <c r="A583" s="14" t="s">
        <v>3259</v>
      </c>
      <c r="B583" s="2" t="s">
        <v>3260</v>
      </c>
      <c r="C583" s="14" t="s">
        <v>14</v>
      </c>
      <c r="D583" s="2" t="s">
        <v>15</v>
      </c>
      <c r="E583" s="2" t="s">
        <v>58</v>
      </c>
      <c r="F583" s="9">
        <v>46139</v>
      </c>
      <c r="G583" s="9">
        <v>46096</v>
      </c>
      <c r="H583" s="8">
        <v>109.99</v>
      </c>
      <c r="I583" s="8">
        <v>29.14</v>
      </c>
      <c r="J583" s="9">
        <v>46143</v>
      </c>
      <c r="K583" s="2" t="s">
        <v>3957</v>
      </c>
      <c r="L583" s="2" t="s">
        <v>17</v>
      </c>
    </row>
    <row r="584" spans="1:12">
      <c r="A584" s="14" t="s">
        <v>3229</v>
      </c>
      <c r="B584" s="2" t="s">
        <v>3230</v>
      </c>
      <c r="C584" s="14" t="s">
        <v>14</v>
      </c>
      <c r="D584" s="2" t="s">
        <v>15</v>
      </c>
      <c r="E584" s="2" t="s">
        <v>23</v>
      </c>
      <c r="F584" s="9">
        <v>46135</v>
      </c>
      <c r="G584" s="9">
        <v>46096</v>
      </c>
      <c r="H584" s="8">
        <v>129.99</v>
      </c>
      <c r="I584" s="8">
        <v>43.92</v>
      </c>
      <c r="J584" s="9">
        <v>46139</v>
      </c>
      <c r="K584" s="2" t="s">
        <v>3958</v>
      </c>
      <c r="L584" s="2" t="s">
        <v>17</v>
      </c>
    </row>
    <row r="585" spans="1:12">
      <c r="A585" s="14" t="s">
        <v>3209</v>
      </c>
      <c r="B585" s="2" t="s">
        <v>3210</v>
      </c>
      <c r="C585" s="14" t="s">
        <v>14</v>
      </c>
      <c r="D585" s="2" t="s">
        <v>15</v>
      </c>
      <c r="E585" s="2" t="s">
        <v>2703</v>
      </c>
      <c r="F585" s="9">
        <v>46136</v>
      </c>
      <c r="G585" s="9">
        <v>46096</v>
      </c>
      <c r="H585" s="8">
        <v>102.72</v>
      </c>
      <c r="I585" s="8">
        <v>50</v>
      </c>
      <c r="J585" s="9">
        <v>46141</v>
      </c>
      <c r="K585" s="2" t="s">
        <v>3959</v>
      </c>
      <c r="L585" s="2" t="s">
        <v>17</v>
      </c>
    </row>
    <row r="586" spans="1:12">
      <c r="A586" s="14" t="s">
        <v>3245</v>
      </c>
      <c r="B586" s="2" t="s">
        <v>3246</v>
      </c>
      <c r="C586" s="14" t="s">
        <v>14</v>
      </c>
      <c r="D586" s="2" t="s">
        <v>15</v>
      </c>
      <c r="E586" s="2" t="s">
        <v>55</v>
      </c>
      <c r="F586" s="9">
        <v>46135</v>
      </c>
      <c r="G586" s="9">
        <v>46096</v>
      </c>
      <c r="H586" s="8">
        <v>109.99</v>
      </c>
      <c r="I586" s="8">
        <v>63.67</v>
      </c>
      <c r="J586" s="9">
        <v>46140</v>
      </c>
      <c r="K586" s="2" t="s">
        <v>3960</v>
      </c>
      <c r="L586" s="2" t="s">
        <v>17</v>
      </c>
    </row>
    <row r="587" spans="1:12">
      <c r="A587" s="14" t="s">
        <v>3353</v>
      </c>
      <c r="B587" s="2" t="s">
        <v>3354</v>
      </c>
      <c r="C587" s="14" t="s">
        <v>14</v>
      </c>
      <c r="D587" s="2" t="s">
        <v>15</v>
      </c>
      <c r="E587" s="2" t="s">
        <v>2742</v>
      </c>
      <c r="F587" s="9">
        <v>46135</v>
      </c>
      <c r="G587" s="9">
        <v>46096</v>
      </c>
      <c r="H587" s="8">
        <v>109.99</v>
      </c>
      <c r="I587" s="8">
        <v>39.33</v>
      </c>
      <c r="J587" s="9">
        <v>46139</v>
      </c>
      <c r="K587" s="2" t="s">
        <v>3961</v>
      </c>
      <c r="L587" s="2" t="s">
        <v>17</v>
      </c>
    </row>
    <row r="588" spans="1:12">
      <c r="A588" s="14" t="s">
        <v>3371</v>
      </c>
      <c r="B588" s="2" t="s">
        <v>3372</v>
      </c>
      <c r="C588" s="14" t="s">
        <v>14</v>
      </c>
      <c r="D588" s="2" t="s">
        <v>15</v>
      </c>
      <c r="E588" s="2" t="s">
        <v>23</v>
      </c>
      <c r="F588" s="9">
        <v>46103</v>
      </c>
      <c r="G588" s="9">
        <v>46096</v>
      </c>
      <c r="H588" s="8">
        <v>119.99</v>
      </c>
      <c r="I588" s="8">
        <v>37.770000000000003</v>
      </c>
      <c r="J588" s="9">
        <v>46138</v>
      </c>
      <c r="K588" s="2" t="s">
        <v>3962</v>
      </c>
      <c r="L588" s="2" t="s">
        <v>17</v>
      </c>
    </row>
    <row r="589" spans="1:12">
      <c r="A589" s="14" t="s">
        <v>2366</v>
      </c>
      <c r="B589" s="2" t="s">
        <v>2367</v>
      </c>
      <c r="C589" s="14" t="s">
        <v>14</v>
      </c>
      <c r="D589" s="2" t="s">
        <v>15</v>
      </c>
      <c r="E589" s="2" t="s">
        <v>16</v>
      </c>
      <c r="F589" s="9">
        <v>46128</v>
      </c>
      <c r="G589" s="9">
        <v>46096</v>
      </c>
      <c r="H589" s="8">
        <v>41.95</v>
      </c>
      <c r="I589" s="8"/>
      <c r="J589" s="9"/>
      <c r="K589" s="2"/>
      <c r="L589" s="2" t="s">
        <v>17</v>
      </c>
    </row>
    <row r="590" spans="1:12">
      <c r="A590" s="14" t="s">
        <v>3963</v>
      </c>
      <c r="B590" s="2" t="s">
        <v>3964</v>
      </c>
      <c r="C590" s="14" t="s">
        <v>14</v>
      </c>
      <c r="D590" s="2" t="s">
        <v>15</v>
      </c>
      <c r="E590" s="2" t="s">
        <v>23</v>
      </c>
      <c r="F590" s="9">
        <v>46135</v>
      </c>
      <c r="G590" s="9">
        <v>46096</v>
      </c>
      <c r="H590" s="8">
        <v>131.46</v>
      </c>
      <c r="I590" s="8">
        <v>27.26</v>
      </c>
      <c r="J590" s="9">
        <v>46138</v>
      </c>
      <c r="K590" s="2" t="s">
        <v>3965</v>
      </c>
      <c r="L590" s="2" t="s">
        <v>17</v>
      </c>
    </row>
    <row r="591" spans="1:12">
      <c r="A591" s="14" t="s">
        <v>2372</v>
      </c>
      <c r="B591" s="2" t="s">
        <v>2373</v>
      </c>
      <c r="C591" s="14" t="s">
        <v>14</v>
      </c>
      <c r="D591" s="2" t="s">
        <v>15</v>
      </c>
      <c r="E591" s="2" t="s">
        <v>16</v>
      </c>
      <c r="F591" s="9">
        <v>46128</v>
      </c>
      <c r="G591" s="9">
        <v>46096</v>
      </c>
      <c r="H591" s="8">
        <v>3.58</v>
      </c>
      <c r="I591" s="8"/>
      <c r="J591" s="9"/>
      <c r="K591" s="2"/>
      <c r="L591" s="2" t="s">
        <v>17</v>
      </c>
    </row>
    <row r="592" spans="1:12">
      <c r="A592" s="14" t="s">
        <v>917</v>
      </c>
      <c r="B592" s="2" t="s">
        <v>918</v>
      </c>
      <c r="C592" s="14" t="s">
        <v>14</v>
      </c>
      <c r="D592" s="2" t="s">
        <v>15</v>
      </c>
      <c r="E592" s="2" t="s">
        <v>3638</v>
      </c>
      <c r="F592" s="9">
        <v>46135</v>
      </c>
      <c r="G592" s="9">
        <v>46096</v>
      </c>
      <c r="H592" s="8">
        <v>90.36</v>
      </c>
      <c r="I592" s="8">
        <v>20</v>
      </c>
      <c r="J592" s="9">
        <v>46140</v>
      </c>
      <c r="K592" s="2" t="s">
        <v>3966</v>
      </c>
      <c r="L592" s="2" t="s">
        <v>17</v>
      </c>
    </row>
    <row r="593" spans="1:12">
      <c r="A593" s="14" t="s">
        <v>3967</v>
      </c>
      <c r="B593" s="2" t="s">
        <v>3968</v>
      </c>
      <c r="C593" s="14" t="s">
        <v>14</v>
      </c>
      <c r="D593" s="2" t="s">
        <v>15</v>
      </c>
      <c r="E593" s="2" t="s">
        <v>16</v>
      </c>
      <c r="F593" s="9">
        <v>46128</v>
      </c>
      <c r="G593" s="9">
        <v>46096</v>
      </c>
      <c r="H593" s="8">
        <v>3.58</v>
      </c>
      <c r="I593" s="8"/>
      <c r="J593" s="9"/>
      <c r="K593" s="2"/>
      <c r="L593" s="2" t="s">
        <v>17</v>
      </c>
    </row>
    <row r="594" spans="1:12">
      <c r="A594" s="14" t="s">
        <v>3285</v>
      </c>
      <c r="B594" s="2" t="s">
        <v>3286</v>
      </c>
      <c r="C594" s="14" t="s">
        <v>14</v>
      </c>
      <c r="D594" s="2" t="s">
        <v>15</v>
      </c>
      <c r="E594" s="2" t="s">
        <v>55</v>
      </c>
      <c r="F594" s="9">
        <v>46139</v>
      </c>
      <c r="G594" s="9">
        <v>46096</v>
      </c>
      <c r="H594" s="8">
        <v>129.99</v>
      </c>
      <c r="I594" s="8">
        <v>34.450000000000003</v>
      </c>
      <c r="J594" s="9">
        <v>46140</v>
      </c>
      <c r="K594" s="2" t="s">
        <v>3969</v>
      </c>
      <c r="L594" s="2" t="s">
        <v>17</v>
      </c>
    </row>
    <row r="595" spans="1:12">
      <c r="A595" s="14" t="s">
        <v>3131</v>
      </c>
      <c r="B595" s="2" t="s">
        <v>3132</v>
      </c>
      <c r="C595" s="14" t="s">
        <v>14</v>
      </c>
      <c r="D595" s="2" t="s">
        <v>15</v>
      </c>
      <c r="E595" s="2" t="s">
        <v>55</v>
      </c>
      <c r="F595" s="9">
        <v>46135</v>
      </c>
      <c r="G595" s="9">
        <v>46096</v>
      </c>
      <c r="H595" s="8">
        <v>99.99</v>
      </c>
      <c r="I595" s="8">
        <v>27.54</v>
      </c>
      <c r="J595" s="9">
        <v>46139</v>
      </c>
      <c r="K595" s="2" t="s">
        <v>3970</v>
      </c>
      <c r="L595" s="2" t="s">
        <v>17</v>
      </c>
    </row>
    <row r="596" spans="1:12">
      <c r="A596" s="14" t="s">
        <v>3971</v>
      </c>
      <c r="B596" s="2" t="s">
        <v>3972</v>
      </c>
      <c r="C596" s="14" t="s">
        <v>14</v>
      </c>
      <c r="D596" s="2" t="s">
        <v>15</v>
      </c>
      <c r="E596" s="2" t="s">
        <v>58</v>
      </c>
      <c r="F596" s="9">
        <v>46136</v>
      </c>
      <c r="G596" s="9">
        <v>46096</v>
      </c>
      <c r="H596" s="8">
        <v>102.32</v>
      </c>
      <c r="I596" s="8">
        <v>21.15</v>
      </c>
      <c r="J596" s="9">
        <v>46140</v>
      </c>
      <c r="K596" s="2" t="s">
        <v>3973</v>
      </c>
      <c r="L596" s="2" t="s">
        <v>17</v>
      </c>
    </row>
    <row r="597" spans="1:12">
      <c r="A597" s="14" t="s">
        <v>3235</v>
      </c>
      <c r="B597" s="2" t="s">
        <v>3236</v>
      </c>
      <c r="C597" s="14" t="s">
        <v>14</v>
      </c>
      <c r="D597" s="2" t="s">
        <v>15</v>
      </c>
      <c r="E597" s="2" t="s">
        <v>55</v>
      </c>
      <c r="F597" s="9">
        <v>46136</v>
      </c>
      <c r="G597" s="9">
        <v>46096</v>
      </c>
      <c r="H597" s="8">
        <v>119.99</v>
      </c>
      <c r="I597" s="8">
        <v>43.8</v>
      </c>
      <c r="J597" s="9">
        <v>46140</v>
      </c>
      <c r="K597" s="2" t="s">
        <v>3974</v>
      </c>
      <c r="L597" s="2" t="s">
        <v>17</v>
      </c>
    </row>
    <row r="598" spans="1:12">
      <c r="A598" s="14" t="s">
        <v>3975</v>
      </c>
      <c r="B598" s="2" t="s">
        <v>3976</v>
      </c>
      <c r="C598" s="14" t="s">
        <v>14</v>
      </c>
      <c r="D598" s="2" t="s">
        <v>15</v>
      </c>
      <c r="E598" s="2" t="s">
        <v>58</v>
      </c>
      <c r="F598" s="9">
        <v>46139</v>
      </c>
      <c r="G598" s="9">
        <v>46096</v>
      </c>
      <c r="H598" s="8">
        <v>53.23</v>
      </c>
      <c r="I598" s="8">
        <v>27.91</v>
      </c>
      <c r="J598" s="9">
        <v>46143</v>
      </c>
      <c r="K598" s="2" t="s">
        <v>3977</v>
      </c>
      <c r="L598" s="2" t="s">
        <v>17</v>
      </c>
    </row>
    <row r="599" spans="1:12">
      <c r="A599" s="14" t="s">
        <v>3447</v>
      </c>
      <c r="B599" s="2" t="s">
        <v>3448</v>
      </c>
      <c r="C599" s="14" t="s">
        <v>14</v>
      </c>
      <c r="D599" s="2" t="s">
        <v>15</v>
      </c>
      <c r="E599" s="2" t="s">
        <v>55</v>
      </c>
      <c r="F599" s="9">
        <v>46136</v>
      </c>
      <c r="G599" s="9">
        <v>46096</v>
      </c>
      <c r="H599" s="8">
        <v>139.99</v>
      </c>
      <c r="I599" s="8">
        <v>54.31</v>
      </c>
      <c r="J599" s="9">
        <v>46139</v>
      </c>
      <c r="K599" s="2" t="s">
        <v>3978</v>
      </c>
      <c r="L599" s="2" t="s">
        <v>17</v>
      </c>
    </row>
    <row r="600" spans="1:12">
      <c r="A600" s="14" t="s">
        <v>3344</v>
      </c>
      <c r="B600" s="2" t="s">
        <v>3345</v>
      </c>
      <c r="C600" s="14" t="s">
        <v>14</v>
      </c>
      <c r="D600" s="2" t="s">
        <v>15</v>
      </c>
      <c r="E600" s="2" t="s">
        <v>55</v>
      </c>
      <c r="F600" s="9">
        <v>46136</v>
      </c>
      <c r="G600" s="9">
        <v>46096</v>
      </c>
      <c r="H600" s="8">
        <v>109.99</v>
      </c>
      <c r="I600" s="8">
        <v>58.88</v>
      </c>
      <c r="J600" s="9">
        <v>46140</v>
      </c>
      <c r="K600" s="2" t="s">
        <v>3979</v>
      </c>
      <c r="L600" s="2" t="s">
        <v>17</v>
      </c>
    </row>
    <row r="601" spans="1:12">
      <c r="A601" s="14" t="s">
        <v>3305</v>
      </c>
      <c r="B601" s="2" t="s">
        <v>3306</v>
      </c>
      <c r="C601" s="14" t="s">
        <v>14</v>
      </c>
      <c r="D601" s="2" t="s">
        <v>15</v>
      </c>
      <c r="E601" s="2" t="s">
        <v>2703</v>
      </c>
      <c r="F601" s="9">
        <v>46136</v>
      </c>
      <c r="G601" s="9">
        <v>46096</v>
      </c>
      <c r="H601" s="8">
        <v>109.99</v>
      </c>
      <c r="I601" s="8">
        <v>40.5</v>
      </c>
      <c r="J601" s="9">
        <v>46141</v>
      </c>
      <c r="K601" s="2" t="s">
        <v>3980</v>
      </c>
      <c r="L601" s="2" t="s">
        <v>17</v>
      </c>
    </row>
    <row r="602" spans="1:12">
      <c r="A602" s="14" t="s">
        <v>849</v>
      </c>
      <c r="B602" s="2" t="s">
        <v>850</v>
      </c>
      <c r="C602" s="14" t="s">
        <v>14</v>
      </c>
      <c r="D602" s="2" t="s">
        <v>15</v>
      </c>
      <c r="E602" s="2" t="s">
        <v>58</v>
      </c>
      <c r="F602" s="9">
        <v>46136</v>
      </c>
      <c r="G602" s="9">
        <v>46096</v>
      </c>
      <c r="H602" s="8">
        <v>109.99</v>
      </c>
      <c r="I602" s="8">
        <v>18.98</v>
      </c>
      <c r="J602" s="9">
        <v>46141</v>
      </c>
      <c r="K602" s="2" t="s">
        <v>3981</v>
      </c>
      <c r="L602" s="2" t="s">
        <v>17</v>
      </c>
    </row>
    <row r="603" spans="1:12">
      <c r="A603" s="14" t="s">
        <v>894</v>
      </c>
      <c r="B603" s="2" t="s">
        <v>895</v>
      </c>
      <c r="C603" s="14" t="s">
        <v>14</v>
      </c>
      <c r="D603" s="2" t="s">
        <v>15</v>
      </c>
      <c r="E603" s="2" t="s">
        <v>58</v>
      </c>
      <c r="F603" s="9">
        <v>46136</v>
      </c>
      <c r="G603" s="9">
        <v>46096</v>
      </c>
      <c r="H603" s="8">
        <v>109.99</v>
      </c>
      <c r="I603" s="8">
        <v>38.200000000000003</v>
      </c>
      <c r="J603" s="9">
        <v>46141</v>
      </c>
      <c r="K603" s="2" t="s">
        <v>3982</v>
      </c>
      <c r="L603" s="2" t="s">
        <v>17</v>
      </c>
    </row>
    <row r="604" spans="1:12">
      <c r="A604" s="14" t="s">
        <v>3188</v>
      </c>
      <c r="B604" s="2" t="s">
        <v>3189</v>
      </c>
      <c r="C604" s="14" t="s">
        <v>14</v>
      </c>
      <c r="D604" s="2" t="s">
        <v>15</v>
      </c>
      <c r="E604" s="2" t="s">
        <v>16</v>
      </c>
      <c r="F604" s="9">
        <v>46128</v>
      </c>
      <c r="G604" s="9">
        <v>46096</v>
      </c>
      <c r="H604" s="8">
        <v>40.549999999999997</v>
      </c>
      <c r="I604" s="8"/>
      <c r="J604" s="9"/>
      <c r="K604" s="2"/>
      <c r="L604" s="2" t="s">
        <v>17</v>
      </c>
    </row>
    <row r="605" spans="1:12">
      <c r="A605" s="14" t="s">
        <v>3337</v>
      </c>
      <c r="B605" s="2" t="s">
        <v>3338</v>
      </c>
      <c r="C605" s="14" t="s">
        <v>14</v>
      </c>
      <c r="D605" s="2" t="s">
        <v>15</v>
      </c>
      <c r="E605" s="2" t="s">
        <v>23</v>
      </c>
      <c r="F605" s="9">
        <v>46136</v>
      </c>
      <c r="G605" s="9">
        <v>46096</v>
      </c>
      <c r="H605" s="8">
        <v>99.99</v>
      </c>
      <c r="I605" s="8">
        <v>32.99</v>
      </c>
      <c r="J605" s="9">
        <v>46140</v>
      </c>
      <c r="K605" s="2" t="s">
        <v>3983</v>
      </c>
      <c r="L605" s="2" t="s">
        <v>17</v>
      </c>
    </row>
    <row r="606" spans="1:12">
      <c r="A606" s="14" t="s">
        <v>931</v>
      </c>
      <c r="B606" s="2" t="s">
        <v>932</v>
      </c>
      <c r="C606" s="14" t="s">
        <v>14</v>
      </c>
      <c r="D606" s="2" t="s">
        <v>15</v>
      </c>
      <c r="E606" s="2" t="s">
        <v>55</v>
      </c>
      <c r="F606" s="9">
        <v>46136</v>
      </c>
      <c r="G606" s="9">
        <v>46096</v>
      </c>
      <c r="H606" s="8">
        <v>99.99</v>
      </c>
      <c r="I606" s="8">
        <v>35</v>
      </c>
      <c r="J606" s="9">
        <v>46139</v>
      </c>
      <c r="K606" s="2" t="s">
        <v>3984</v>
      </c>
      <c r="L606" s="2" t="s">
        <v>17</v>
      </c>
    </row>
    <row r="607" spans="1:12">
      <c r="A607" s="14" t="s">
        <v>872</v>
      </c>
      <c r="B607" s="2" t="s">
        <v>873</v>
      </c>
      <c r="C607" s="14" t="s">
        <v>14</v>
      </c>
      <c r="D607" s="2" t="s">
        <v>15</v>
      </c>
      <c r="E607" s="2" t="s">
        <v>3638</v>
      </c>
      <c r="F607" s="9">
        <v>46136</v>
      </c>
      <c r="G607" s="9">
        <v>46096</v>
      </c>
      <c r="H607" s="8">
        <v>108.38</v>
      </c>
      <c r="I607" s="8">
        <v>46.95</v>
      </c>
      <c r="J607" s="9">
        <v>46141</v>
      </c>
      <c r="K607" s="2" t="s">
        <v>3985</v>
      </c>
      <c r="L607" s="2" t="s">
        <v>17</v>
      </c>
    </row>
    <row r="608" spans="1:12">
      <c r="A608" s="14" t="s">
        <v>3377</v>
      </c>
      <c r="B608" s="2" t="s">
        <v>3378</v>
      </c>
      <c r="C608" s="14" t="s">
        <v>14</v>
      </c>
      <c r="D608" s="2" t="s">
        <v>15</v>
      </c>
      <c r="E608" s="2" t="s">
        <v>2851</v>
      </c>
      <c r="F608" s="9">
        <v>46136</v>
      </c>
      <c r="G608" s="9">
        <v>46096</v>
      </c>
      <c r="H608" s="8">
        <v>109.99</v>
      </c>
      <c r="I608" s="8">
        <v>28.72</v>
      </c>
      <c r="J608" s="9">
        <v>46141</v>
      </c>
      <c r="K608" s="2" t="s">
        <v>3986</v>
      </c>
      <c r="L608" s="2" t="s">
        <v>17</v>
      </c>
    </row>
    <row r="609" spans="1:12">
      <c r="A609" s="14" t="s">
        <v>3987</v>
      </c>
      <c r="B609" s="2" t="s">
        <v>3988</v>
      </c>
      <c r="C609" s="14" t="s">
        <v>14</v>
      </c>
      <c r="D609" s="2" t="s">
        <v>15</v>
      </c>
      <c r="E609" s="2" t="s">
        <v>2851</v>
      </c>
      <c r="F609" s="9">
        <v>46136</v>
      </c>
      <c r="G609" s="9">
        <v>46096</v>
      </c>
      <c r="H609" s="8">
        <v>106.48</v>
      </c>
      <c r="I609" s="8">
        <v>20</v>
      </c>
      <c r="J609" s="9">
        <v>46141</v>
      </c>
      <c r="K609" s="2" t="s">
        <v>3989</v>
      </c>
      <c r="L609" s="2" t="s">
        <v>17</v>
      </c>
    </row>
    <row r="610" spans="1:12">
      <c r="A610" s="14" t="s">
        <v>3276</v>
      </c>
      <c r="B610" s="2" t="s">
        <v>3277</v>
      </c>
      <c r="C610" s="14" t="s">
        <v>14</v>
      </c>
      <c r="D610" s="2" t="s">
        <v>15</v>
      </c>
      <c r="E610" s="2" t="s">
        <v>58</v>
      </c>
      <c r="F610" s="9">
        <v>46139</v>
      </c>
      <c r="G610" s="9">
        <v>46096</v>
      </c>
      <c r="H610" s="8">
        <v>111.8</v>
      </c>
      <c r="I610" s="8">
        <v>45.21</v>
      </c>
      <c r="J610" s="9">
        <v>46143</v>
      </c>
      <c r="K610" s="2" t="s">
        <v>3990</v>
      </c>
      <c r="L610" s="2" t="s">
        <v>17</v>
      </c>
    </row>
    <row r="611" spans="1:12">
      <c r="A611" s="14" t="s">
        <v>3265</v>
      </c>
      <c r="B611" s="2" t="s">
        <v>3266</v>
      </c>
      <c r="C611" s="14" t="s">
        <v>14</v>
      </c>
      <c r="D611" s="2" t="s">
        <v>15</v>
      </c>
      <c r="E611" s="2" t="s">
        <v>16</v>
      </c>
      <c r="F611" s="9">
        <v>46128</v>
      </c>
      <c r="G611" s="9">
        <v>46096</v>
      </c>
      <c r="H611" s="8">
        <v>49.99</v>
      </c>
      <c r="I611" s="8"/>
      <c r="J611" s="9"/>
      <c r="K611" s="2"/>
      <c r="L611" s="2" t="s">
        <v>17</v>
      </c>
    </row>
    <row r="612" spans="1:12">
      <c r="A612" s="14" t="s">
        <v>1012</v>
      </c>
      <c r="B612" s="2" t="s">
        <v>1013</v>
      </c>
      <c r="C612" s="14" t="s">
        <v>14</v>
      </c>
      <c r="D612" s="2" t="s">
        <v>15</v>
      </c>
      <c r="E612" s="2" t="s">
        <v>16</v>
      </c>
      <c r="F612" s="9">
        <v>46128</v>
      </c>
      <c r="G612" s="9">
        <v>46096</v>
      </c>
      <c r="H612" s="8">
        <v>49.99</v>
      </c>
      <c r="I612" s="8"/>
      <c r="J612" s="9"/>
      <c r="K612" s="2"/>
      <c r="L612" s="2" t="s">
        <v>17</v>
      </c>
    </row>
    <row r="613" spans="1:12">
      <c r="A613" s="14" t="s">
        <v>3991</v>
      </c>
      <c r="B613" s="2" t="s">
        <v>3992</v>
      </c>
      <c r="C613" s="14" t="s">
        <v>14</v>
      </c>
      <c r="D613" s="2" t="s">
        <v>15</v>
      </c>
      <c r="E613" s="2" t="s">
        <v>16</v>
      </c>
      <c r="F613" s="9">
        <v>46128</v>
      </c>
      <c r="G613" s="9">
        <v>46096</v>
      </c>
      <c r="H613" s="8">
        <v>49.99</v>
      </c>
      <c r="I613" s="8"/>
      <c r="J613" s="9"/>
      <c r="K613" s="2"/>
      <c r="L613" s="2" t="s">
        <v>17</v>
      </c>
    </row>
    <row r="614" spans="1:12">
      <c r="A614" s="14" t="s">
        <v>2917</v>
      </c>
      <c r="B614" s="2" t="s">
        <v>3402</v>
      </c>
      <c r="C614" s="14" t="s">
        <v>14</v>
      </c>
      <c r="D614" s="2" t="s">
        <v>15</v>
      </c>
      <c r="E614" s="2" t="s">
        <v>16</v>
      </c>
      <c r="F614" s="9">
        <v>46128</v>
      </c>
      <c r="G614" s="9">
        <v>46096</v>
      </c>
      <c r="H614" s="8">
        <v>49.99</v>
      </c>
      <c r="I614" s="8"/>
      <c r="J614" s="9"/>
      <c r="K614" s="2"/>
      <c r="L614" s="2" t="s">
        <v>17</v>
      </c>
    </row>
    <row r="615" spans="1:12">
      <c r="A615" s="14" t="s">
        <v>3220</v>
      </c>
      <c r="B615" s="2" t="s">
        <v>3221</v>
      </c>
      <c r="C615" s="14" t="s">
        <v>14</v>
      </c>
      <c r="D615" s="2" t="s">
        <v>15</v>
      </c>
      <c r="E615" s="2" t="s">
        <v>16</v>
      </c>
      <c r="F615" s="9">
        <v>46128</v>
      </c>
      <c r="G615" s="9">
        <v>46096</v>
      </c>
      <c r="H615" s="8">
        <v>34.799999999999997</v>
      </c>
      <c r="I615" s="8"/>
      <c r="J615" s="9"/>
      <c r="K615" s="2"/>
      <c r="L615" s="2" t="s">
        <v>17</v>
      </c>
    </row>
    <row r="616" spans="1:12">
      <c r="A616" s="14" t="s">
        <v>3993</v>
      </c>
      <c r="B616" s="2" t="s">
        <v>3994</v>
      </c>
      <c r="C616" s="14" t="s">
        <v>14</v>
      </c>
      <c r="D616" s="2" t="s">
        <v>15</v>
      </c>
      <c r="E616" s="2" t="s">
        <v>16</v>
      </c>
      <c r="F616" s="9">
        <v>46128</v>
      </c>
      <c r="G616" s="9">
        <v>46096</v>
      </c>
      <c r="H616" s="8">
        <v>49.99</v>
      </c>
      <c r="I616" s="8"/>
      <c r="J616" s="9"/>
      <c r="K616" s="2"/>
      <c r="L616" s="2" t="s">
        <v>17</v>
      </c>
    </row>
    <row r="617" spans="1:12">
      <c r="A617" s="14" t="s">
        <v>1010</v>
      </c>
      <c r="B617" s="2" t="s">
        <v>1011</v>
      </c>
      <c r="C617" s="14" t="s">
        <v>14</v>
      </c>
      <c r="D617" s="2" t="s">
        <v>15</v>
      </c>
      <c r="E617" s="2" t="s">
        <v>16</v>
      </c>
      <c r="F617" s="9">
        <v>46128</v>
      </c>
      <c r="G617" s="9">
        <v>46096</v>
      </c>
      <c r="H617" s="8">
        <v>49.99</v>
      </c>
      <c r="I617" s="8"/>
      <c r="J617" s="9"/>
      <c r="K617" s="2"/>
      <c r="L617" s="2" t="s">
        <v>17</v>
      </c>
    </row>
    <row r="618" spans="1:12">
      <c r="A618" s="14" t="s">
        <v>3409</v>
      </c>
      <c r="B618" s="2" t="s">
        <v>3410</v>
      </c>
      <c r="C618" s="14" t="s">
        <v>14</v>
      </c>
      <c r="D618" s="2" t="s">
        <v>15</v>
      </c>
      <c r="E618" s="2" t="s">
        <v>55</v>
      </c>
      <c r="F618" s="9">
        <v>46136</v>
      </c>
      <c r="G618" s="9">
        <v>46096</v>
      </c>
      <c r="H618" s="8">
        <v>59.61</v>
      </c>
      <c r="I618" s="8">
        <v>33.29</v>
      </c>
      <c r="J618" s="9">
        <v>46140</v>
      </c>
      <c r="K618" s="2" t="s">
        <v>3995</v>
      </c>
      <c r="L618" s="2" t="s">
        <v>17</v>
      </c>
    </row>
    <row r="619" spans="1:12">
      <c r="A619" s="14" t="s">
        <v>3996</v>
      </c>
      <c r="B619" s="2" t="s">
        <v>3997</v>
      </c>
      <c r="C619" s="14" t="s">
        <v>14</v>
      </c>
      <c r="D619" s="2" t="s">
        <v>15</v>
      </c>
      <c r="E619" s="2" t="s">
        <v>23</v>
      </c>
      <c r="F619" s="9">
        <v>46136</v>
      </c>
      <c r="G619" s="9">
        <v>46096</v>
      </c>
      <c r="H619" s="8">
        <v>88.74</v>
      </c>
      <c r="I619" s="8">
        <v>46.59</v>
      </c>
      <c r="J619" s="9">
        <v>46138</v>
      </c>
      <c r="K619" s="2" t="s">
        <v>3962</v>
      </c>
      <c r="L619" s="2" t="s">
        <v>17</v>
      </c>
    </row>
    <row r="620" spans="1:12">
      <c r="A620" s="14" t="s">
        <v>3998</v>
      </c>
      <c r="B620" s="2" t="s">
        <v>3999</v>
      </c>
      <c r="C620" s="14" t="s">
        <v>14</v>
      </c>
      <c r="D620" s="2" t="s">
        <v>15</v>
      </c>
      <c r="E620" s="2" t="s">
        <v>16</v>
      </c>
      <c r="F620" s="9">
        <v>46134</v>
      </c>
      <c r="G620" s="9">
        <v>46096</v>
      </c>
      <c r="H620" s="8">
        <v>7.11</v>
      </c>
      <c r="I620" s="8"/>
      <c r="J620" s="9"/>
      <c r="K620" s="2"/>
      <c r="L620" s="2" t="s">
        <v>17</v>
      </c>
    </row>
    <row r="621" spans="1:12">
      <c r="A621" s="14" t="s">
        <v>3267</v>
      </c>
      <c r="B621" s="2" t="s">
        <v>3268</v>
      </c>
      <c r="C621" s="14" t="s">
        <v>14</v>
      </c>
      <c r="D621" s="2" t="s">
        <v>15</v>
      </c>
      <c r="E621" s="2" t="s">
        <v>55</v>
      </c>
      <c r="F621" s="9">
        <v>46134</v>
      </c>
      <c r="G621" s="9">
        <v>46096</v>
      </c>
      <c r="H621" s="8">
        <v>99.99</v>
      </c>
      <c r="I621" s="8">
        <v>23.97</v>
      </c>
      <c r="J621" s="9">
        <v>46138</v>
      </c>
      <c r="K621" s="2" t="s">
        <v>4000</v>
      </c>
      <c r="L621" s="2" t="s">
        <v>17</v>
      </c>
    </row>
    <row r="622" spans="1:12">
      <c r="A622" s="14" t="s">
        <v>2422</v>
      </c>
      <c r="B622" s="2" t="s">
        <v>2423</v>
      </c>
      <c r="C622" s="14" t="s">
        <v>14</v>
      </c>
      <c r="D622" s="2" t="s">
        <v>15</v>
      </c>
      <c r="E622" s="2" t="s">
        <v>2851</v>
      </c>
      <c r="F622" s="9">
        <v>46139</v>
      </c>
      <c r="G622" s="9">
        <v>46096</v>
      </c>
      <c r="H622" s="8">
        <v>67.78</v>
      </c>
      <c r="I622" s="8">
        <v>13.58</v>
      </c>
      <c r="J622" s="9">
        <v>46143</v>
      </c>
      <c r="K622" s="2" t="s">
        <v>4001</v>
      </c>
      <c r="L622" s="2" t="s">
        <v>17</v>
      </c>
    </row>
    <row r="623" spans="1:12">
      <c r="A623" s="14" t="s">
        <v>3397</v>
      </c>
      <c r="B623" s="2" t="s">
        <v>3398</v>
      </c>
      <c r="C623" s="14" t="s">
        <v>14</v>
      </c>
      <c r="D623" s="2" t="s">
        <v>15</v>
      </c>
      <c r="E623" s="2" t="s">
        <v>2574</v>
      </c>
      <c r="F623" s="9">
        <v>46134</v>
      </c>
      <c r="G623" s="9">
        <v>46096</v>
      </c>
      <c r="H623" s="8">
        <v>101.73</v>
      </c>
      <c r="I623" s="8">
        <v>43.33</v>
      </c>
      <c r="J623" s="9">
        <v>46136</v>
      </c>
      <c r="K623" s="2" t="s">
        <v>4002</v>
      </c>
      <c r="L623" s="2" t="s">
        <v>17</v>
      </c>
    </row>
    <row r="624" spans="1:12">
      <c r="A624" s="14" t="s">
        <v>984</v>
      </c>
      <c r="B624" s="2" t="s">
        <v>985</v>
      </c>
      <c r="C624" s="14" t="s">
        <v>14</v>
      </c>
      <c r="D624" s="2" t="s">
        <v>15</v>
      </c>
      <c r="E624" s="2" t="s">
        <v>23</v>
      </c>
      <c r="F624" s="9">
        <v>46134</v>
      </c>
      <c r="G624" s="9">
        <v>46096</v>
      </c>
      <c r="H624" s="8">
        <v>83.9</v>
      </c>
      <c r="I624" s="8">
        <v>37.770000000000003</v>
      </c>
      <c r="J624" s="9">
        <v>46139</v>
      </c>
      <c r="K624" s="2" t="s">
        <v>4003</v>
      </c>
      <c r="L624" s="2" t="s">
        <v>17</v>
      </c>
    </row>
    <row r="625" spans="1:12">
      <c r="A625" s="14" t="s">
        <v>4004</v>
      </c>
      <c r="B625" s="2" t="s">
        <v>4005</v>
      </c>
      <c r="C625" s="14" t="s">
        <v>14</v>
      </c>
      <c r="D625" s="2" t="s">
        <v>15</v>
      </c>
      <c r="E625" s="2" t="s">
        <v>16</v>
      </c>
      <c r="F625" s="9">
        <v>46128</v>
      </c>
      <c r="G625" s="9">
        <v>46096</v>
      </c>
      <c r="H625" s="8">
        <v>6.49</v>
      </c>
      <c r="I625" s="8"/>
      <c r="J625" s="9"/>
      <c r="K625" s="2"/>
      <c r="L625" s="2" t="s">
        <v>17</v>
      </c>
    </row>
    <row r="626" spans="1:12">
      <c r="A626" s="14" t="s">
        <v>987</v>
      </c>
      <c r="B626" s="2" t="s">
        <v>988</v>
      </c>
      <c r="C626" s="14" t="s">
        <v>14</v>
      </c>
      <c r="D626" s="2" t="s">
        <v>15</v>
      </c>
      <c r="E626" s="2" t="s">
        <v>58</v>
      </c>
      <c r="F626" s="9">
        <v>46135</v>
      </c>
      <c r="G626" s="9">
        <v>46096</v>
      </c>
      <c r="H626" s="8">
        <v>95.83</v>
      </c>
      <c r="I626" s="8">
        <v>42.29</v>
      </c>
      <c r="J626" s="9">
        <v>46139</v>
      </c>
      <c r="K626" s="2" t="s">
        <v>4006</v>
      </c>
      <c r="L626" s="2" t="s">
        <v>17</v>
      </c>
    </row>
    <row r="627" spans="1:12">
      <c r="A627" s="14" t="s">
        <v>3254</v>
      </c>
      <c r="B627" s="2" t="s">
        <v>3255</v>
      </c>
      <c r="C627" s="14" t="s">
        <v>14</v>
      </c>
      <c r="D627" s="2" t="s">
        <v>15</v>
      </c>
      <c r="E627" s="2" t="s">
        <v>58</v>
      </c>
      <c r="F627" s="9">
        <v>46135</v>
      </c>
      <c r="G627" s="9">
        <v>46096</v>
      </c>
      <c r="H627" s="8">
        <v>109.99</v>
      </c>
      <c r="I627" s="8">
        <v>48.34</v>
      </c>
      <c r="J627" s="9">
        <v>46140</v>
      </c>
      <c r="K627" s="2" t="s">
        <v>4007</v>
      </c>
      <c r="L627" s="2" t="s">
        <v>17</v>
      </c>
    </row>
    <row r="628" spans="1:12">
      <c r="A628" s="14" t="s">
        <v>2445</v>
      </c>
      <c r="B628" s="2" t="s">
        <v>2446</v>
      </c>
      <c r="C628" s="14" t="s">
        <v>14</v>
      </c>
      <c r="D628" s="2" t="s">
        <v>15</v>
      </c>
      <c r="F628" s="9">
        <v>46170</v>
      </c>
      <c r="G628" s="9">
        <v>46096</v>
      </c>
      <c r="H628" s="8">
        <v>70.989999999999995</v>
      </c>
      <c r="I628" s="8"/>
      <c r="J628" s="9"/>
      <c r="K628" s="2"/>
      <c r="L628" s="2" t="s">
        <v>17</v>
      </c>
    </row>
    <row r="629" spans="1:12">
      <c r="A629" s="14" t="s">
        <v>4008</v>
      </c>
      <c r="B629" s="2" t="s">
        <v>4009</v>
      </c>
      <c r="C629" s="14" t="s">
        <v>14</v>
      </c>
      <c r="D629" s="2" t="s">
        <v>15</v>
      </c>
      <c r="E629" s="2" t="s">
        <v>58</v>
      </c>
      <c r="F629" s="9">
        <v>46139</v>
      </c>
      <c r="G629" s="9">
        <v>46096</v>
      </c>
      <c r="H629" s="8">
        <v>99.99</v>
      </c>
      <c r="I629" s="8">
        <v>35</v>
      </c>
      <c r="J629" s="9">
        <v>46142</v>
      </c>
      <c r="K629" s="2" t="s">
        <v>4010</v>
      </c>
      <c r="L629" s="2" t="s">
        <v>17</v>
      </c>
    </row>
    <row r="630" spans="1:12">
      <c r="A630" s="14" t="s">
        <v>729</v>
      </c>
      <c r="B630" s="2" t="s">
        <v>730</v>
      </c>
      <c r="C630" s="14" t="s">
        <v>14</v>
      </c>
      <c r="D630" s="2" t="s">
        <v>15</v>
      </c>
      <c r="E630" s="2" t="s">
        <v>2742</v>
      </c>
      <c r="F630" s="9">
        <v>46136</v>
      </c>
      <c r="G630" s="9">
        <v>46096</v>
      </c>
      <c r="H630" s="8">
        <v>109.99</v>
      </c>
      <c r="I630" s="8">
        <v>34.22</v>
      </c>
      <c r="J630" s="9">
        <v>46140</v>
      </c>
      <c r="K630" s="2" t="s">
        <v>4011</v>
      </c>
      <c r="L630" s="2" t="s">
        <v>17</v>
      </c>
    </row>
    <row r="631" spans="1:12">
      <c r="A631" s="14" t="s">
        <v>3069</v>
      </c>
      <c r="B631" s="2" t="s">
        <v>3070</v>
      </c>
      <c r="C631" s="14" t="s">
        <v>14</v>
      </c>
      <c r="D631" s="2" t="s">
        <v>15</v>
      </c>
      <c r="E631" s="2" t="s">
        <v>58</v>
      </c>
      <c r="F631" s="9">
        <v>46136</v>
      </c>
      <c r="G631" s="9">
        <v>46096</v>
      </c>
      <c r="H631" s="8">
        <v>101.29</v>
      </c>
      <c r="I631" s="8">
        <v>31.04</v>
      </c>
      <c r="J631" s="9">
        <v>46141</v>
      </c>
      <c r="K631" s="2" t="s">
        <v>4012</v>
      </c>
      <c r="L631" s="2" t="s">
        <v>17</v>
      </c>
    </row>
    <row r="632" spans="1:12">
      <c r="A632" s="14" t="s">
        <v>3029</v>
      </c>
      <c r="B632" s="2" t="s">
        <v>3030</v>
      </c>
      <c r="C632" s="14" t="s">
        <v>14</v>
      </c>
      <c r="D632" s="2" t="s">
        <v>15</v>
      </c>
      <c r="E632" s="2" t="s">
        <v>55</v>
      </c>
      <c r="F632" s="9">
        <v>46136</v>
      </c>
      <c r="G632" s="9">
        <v>46096</v>
      </c>
      <c r="H632" s="8">
        <v>143.38999999999999</v>
      </c>
      <c r="I632" s="8">
        <v>36.42</v>
      </c>
      <c r="J632" s="9">
        <v>46140</v>
      </c>
      <c r="K632" s="2" t="s">
        <v>4013</v>
      </c>
      <c r="L632" s="2" t="s">
        <v>17</v>
      </c>
    </row>
    <row r="633" spans="1:12">
      <c r="A633" s="14" t="s">
        <v>4014</v>
      </c>
      <c r="B633" s="2" t="s">
        <v>4015</v>
      </c>
      <c r="C633" s="14" t="s">
        <v>14</v>
      </c>
      <c r="D633" s="2" t="s">
        <v>15</v>
      </c>
      <c r="E633" s="2" t="s">
        <v>2574</v>
      </c>
      <c r="F633" s="9">
        <v>46136</v>
      </c>
      <c r="G633" s="9">
        <v>46096</v>
      </c>
      <c r="H633" s="8">
        <v>99.99</v>
      </c>
      <c r="I633" s="8">
        <v>65</v>
      </c>
      <c r="J633" s="9">
        <v>46140</v>
      </c>
      <c r="K633" s="2" t="s">
        <v>4016</v>
      </c>
      <c r="L633" s="2" t="s">
        <v>17</v>
      </c>
    </row>
    <row r="634" spans="1:12">
      <c r="A634" s="14" t="s">
        <v>4017</v>
      </c>
      <c r="B634" s="2" t="s">
        <v>4018</v>
      </c>
      <c r="C634" s="14" t="s">
        <v>14</v>
      </c>
      <c r="D634" s="2" t="s">
        <v>15</v>
      </c>
      <c r="E634" s="2" t="s">
        <v>55</v>
      </c>
      <c r="F634" s="9">
        <v>46139</v>
      </c>
      <c r="G634" s="9">
        <v>46096</v>
      </c>
      <c r="H634" s="8">
        <v>83.9</v>
      </c>
      <c r="I634" s="8">
        <v>30</v>
      </c>
      <c r="J634" s="9">
        <v>46142</v>
      </c>
      <c r="K634" s="2" t="s">
        <v>4019</v>
      </c>
      <c r="L634" s="2" t="s">
        <v>17</v>
      </c>
    </row>
    <row r="635" spans="1:12">
      <c r="A635" s="14" t="s">
        <v>2301</v>
      </c>
      <c r="B635" s="2" t="s">
        <v>2302</v>
      </c>
      <c r="C635" s="14" t="s">
        <v>14</v>
      </c>
      <c r="D635" s="2" t="s">
        <v>15</v>
      </c>
      <c r="E635" s="2" t="s">
        <v>16</v>
      </c>
      <c r="F635" s="9">
        <v>46128</v>
      </c>
      <c r="G635" s="9">
        <v>46096</v>
      </c>
      <c r="H635" s="8">
        <v>7.11</v>
      </c>
      <c r="I635" s="8"/>
      <c r="J635" s="9"/>
      <c r="K635" s="2"/>
      <c r="L635" s="2" t="s">
        <v>17</v>
      </c>
    </row>
    <row r="636" spans="1:12">
      <c r="A636" s="14" t="s">
        <v>4020</v>
      </c>
      <c r="B636" s="2" t="s">
        <v>4021</v>
      </c>
      <c r="C636" s="14" t="s">
        <v>3613</v>
      </c>
      <c r="D636" s="2" t="s">
        <v>15</v>
      </c>
      <c r="E636" s="2" t="s">
        <v>55</v>
      </c>
      <c r="F636" s="9">
        <v>46128</v>
      </c>
      <c r="G636" s="9">
        <v>46037</v>
      </c>
      <c r="H636" s="8">
        <v>509.7</v>
      </c>
      <c r="I636" s="8">
        <v>109.69</v>
      </c>
      <c r="J636" s="9">
        <v>46132</v>
      </c>
      <c r="K636" s="2" t="s">
        <v>4022</v>
      </c>
      <c r="L636" s="2" t="s">
        <v>17</v>
      </c>
    </row>
    <row r="637" spans="1:12">
      <c r="A637" s="14" t="s">
        <v>4023</v>
      </c>
      <c r="B637" s="2" t="s">
        <v>4024</v>
      </c>
      <c r="C637" s="14" t="s">
        <v>3613</v>
      </c>
      <c r="D637" s="2" t="s">
        <v>15</v>
      </c>
      <c r="E637" s="2" t="s">
        <v>55</v>
      </c>
      <c r="F637" s="9">
        <v>46128</v>
      </c>
      <c r="G637" s="9">
        <v>46037</v>
      </c>
      <c r="H637" s="8">
        <v>299.98</v>
      </c>
      <c r="I637" s="8">
        <v>125.41</v>
      </c>
      <c r="J637" s="9">
        <v>46132</v>
      </c>
      <c r="K637" s="2" t="s">
        <v>4025</v>
      </c>
      <c r="L637" s="2" t="s">
        <v>17</v>
      </c>
    </row>
    <row r="638" spans="1:12">
      <c r="A638" s="14" t="s">
        <v>2948</v>
      </c>
      <c r="B638" s="2" t="s">
        <v>2949</v>
      </c>
      <c r="C638" s="14" t="s">
        <v>3613</v>
      </c>
      <c r="D638" s="2" t="s">
        <v>15</v>
      </c>
      <c r="E638" s="2" t="s">
        <v>55</v>
      </c>
      <c r="F638" s="9">
        <v>46128</v>
      </c>
      <c r="G638" s="9">
        <v>46037</v>
      </c>
      <c r="H638" s="8">
        <v>299.98</v>
      </c>
      <c r="I638" s="8">
        <v>55.54</v>
      </c>
      <c r="J638" s="9">
        <v>46134</v>
      </c>
      <c r="K638" s="2" t="s">
        <v>4026</v>
      </c>
      <c r="L638" s="2" t="s">
        <v>17</v>
      </c>
    </row>
    <row r="639" spans="1:12">
      <c r="A639" s="14" t="s">
        <v>4027</v>
      </c>
      <c r="B639" s="2" t="s">
        <v>4028</v>
      </c>
      <c r="C639" s="14" t="s">
        <v>3613</v>
      </c>
      <c r="D639" s="2" t="s">
        <v>15</v>
      </c>
      <c r="E639" s="2" t="s">
        <v>23</v>
      </c>
      <c r="F639" s="9">
        <v>46132</v>
      </c>
      <c r="G639" s="9">
        <v>46043</v>
      </c>
      <c r="H639" s="8">
        <v>1112.79</v>
      </c>
      <c r="I639" s="8">
        <v>223.7</v>
      </c>
      <c r="J639" s="9">
        <v>46136</v>
      </c>
      <c r="K639" s="2" t="s">
        <v>4029</v>
      </c>
      <c r="L639" s="2" t="s">
        <v>17</v>
      </c>
    </row>
    <row r="640" spans="1:12">
      <c r="A640" s="14" t="s">
        <v>4030</v>
      </c>
      <c r="B640" s="2" t="s">
        <v>4031</v>
      </c>
      <c r="C640" s="14" t="s">
        <v>3613</v>
      </c>
      <c r="D640" s="2" t="s">
        <v>15</v>
      </c>
      <c r="E640" s="2" t="s">
        <v>55</v>
      </c>
      <c r="F640" s="9">
        <v>46134</v>
      </c>
      <c r="G640" s="9">
        <v>46043</v>
      </c>
      <c r="H640" s="8">
        <v>3193.06</v>
      </c>
      <c r="I640" s="8">
        <v>335.38</v>
      </c>
      <c r="J640" s="9">
        <v>46137</v>
      </c>
      <c r="K640" s="2" t="s">
        <v>4032</v>
      </c>
      <c r="L640" s="2" t="s">
        <v>17</v>
      </c>
    </row>
    <row r="641" spans="1:12">
      <c r="A641" s="14" t="s">
        <v>4033</v>
      </c>
      <c r="B641" s="2" t="s">
        <v>4034</v>
      </c>
      <c r="C641" s="14" t="s">
        <v>3613</v>
      </c>
      <c r="D641" s="2" t="s">
        <v>15</v>
      </c>
      <c r="E641" s="2" t="s">
        <v>58</v>
      </c>
      <c r="F641" s="9">
        <v>46134</v>
      </c>
      <c r="G641" s="9">
        <v>46043</v>
      </c>
      <c r="H641" s="8">
        <v>431.05</v>
      </c>
      <c r="I641" s="8">
        <v>81.510000000000005</v>
      </c>
      <c r="J641" s="9">
        <v>46136</v>
      </c>
      <c r="K641" s="2" t="s">
        <v>4035</v>
      </c>
      <c r="L641" s="2" t="s">
        <v>17</v>
      </c>
    </row>
    <row r="642" spans="1:12">
      <c r="A642" s="14" t="s">
        <v>3470</v>
      </c>
      <c r="B642" s="2" t="s">
        <v>3471</v>
      </c>
      <c r="C642" s="14" t="s">
        <v>3613</v>
      </c>
      <c r="D642" s="2" t="s">
        <v>15</v>
      </c>
      <c r="E642" s="2" t="s">
        <v>55</v>
      </c>
      <c r="F642" s="9">
        <v>46132</v>
      </c>
      <c r="G642" s="9">
        <v>46043</v>
      </c>
      <c r="H642" s="8">
        <v>2535.9</v>
      </c>
      <c r="I642" s="8">
        <v>287.2</v>
      </c>
      <c r="J642" s="9">
        <v>46137</v>
      </c>
      <c r="K642" s="2" t="s">
        <v>4036</v>
      </c>
      <c r="L642" s="2" t="s">
        <v>17</v>
      </c>
    </row>
    <row r="643" spans="1:12">
      <c r="A643" s="14" t="s">
        <v>4037</v>
      </c>
      <c r="B643" s="2" t="s">
        <v>4038</v>
      </c>
      <c r="C643" s="14" t="s">
        <v>3613</v>
      </c>
      <c r="D643" s="2" t="s">
        <v>15</v>
      </c>
      <c r="E643" s="2" t="s">
        <v>55</v>
      </c>
      <c r="F643" s="9">
        <v>46132</v>
      </c>
      <c r="G643" s="9">
        <v>46043</v>
      </c>
      <c r="H643" s="8">
        <v>269.97000000000003</v>
      </c>
      <c r="I643" s="8">
        <v>40.86</v>
      </c>
      <c r="J643" s="9">
        <v>46137</v>
      </c>
      <c r="K643" s="2" t="s">
        <v>4039</v>
      </c>
      <c r="L643" s="2" t="s">
        <v>17</v>
      </c>
    </row>
    <row r="644" spans="1:12">
      <c r="A644" s="14" t="s">
        <v>4040</v>
      </c>
      <c r="B644" s="2" t="s">
        <v>4041</v>
      </c>
      <c r="C644" s="14" t="s">
        <v>3613</v>
      </c>
      <c r="D644" s="2" t="s">
        <v>15</v>
      </c>
      <c r="E644" s="2" t="s">
        <v>23</v>
      </c>
      <c r="F644" s="9">
        <v>46134</v>
      </c>
      <c r="G644" s="9">
        <v>46043</v>
      </c>
      <c r="H644" s="8">
        <v>134.97999999999999</v>
      </c>
      <c r="I644" s="8">
        <v>44.34</v>
      </c>
      <c r="J644" s="9">
        <v>46138</v>
      </c>
      <c r="K644" s="2" t="s">
        <v>4042</v>
      </c>
      <c r="L644" s="2" t="s">
        <v>17</v>
      </c>
    </row>
    <row r="645" spans="1:12">
      <c r="A645" s="14" t="s">
        <v>4043</v>
      </c>
      <c r="B645" s="2" t="s">
        <v>4044</v>
      </c>
      <c r="C645" s="14" t="s">
        <v>3613</v>
      </c>
      <c r="D645" s="2" t="s">
        <v>15</v>
      </c>
      <c r="E645" s="2" t="s">
        <v>23</v>
      </c>
      <c r="F645" s="9">
        <v>46134</v>
      </c>
      <c r="G645" s="9">
        <v>46043</v>
      </c>
      <c r="H645" s="8">
        <v>121.49</v>
      </c>
      <c r="I645" s="8">
        <v>45.11</v>
      </c>
      <c r="J645" s="9">
        <v>46137</v>
      </c>
      <c r="K645" s="2" t="s">
        <v>4045</v>
      </c>
      <c r="L645" s="2" t="s">
        <v>17</v>
      </c>
    </row>
    <row r="646" spans="1:12">
      <c r="A646" s="14" t="s">
        <v>4046</v>
      </c>
      <c r="B646" s="2" t="s">
        <v>4047</v>
      </c>
      <c r="C646" s="14" t="s">
        <v>3613</v>
      </c>
      <c r="D646" s="2" t="s">
        <v>15</v>
      </c>
      <c r="E646" s="2" t="s">
        <v>23</v>
      </c>
      <c r="F646" s="9">
        <v>46134</v>
      </c>
      <c r="G646" s="9">
        <v>46043</v>
      </c>
      <c r="H646" s="8">
        <v>109.58</v>
      </c>
      <c r="I646" s="8">
        <v>12.66</v>
      </c>
      <c r="J646" s="9">
        <v>46136</v>
      </c>
      <c r="K646" s="2" t="s">
        <v>4048</v>
      </c>
      <c r="L646" s="2" t="s">
        <v>17</v>
      </c>
    </row>
    <row r="647" spans="1:12">
      <c r="A647" s="14" t="s">
        <v>4049</v>
      </c>
      <c r="B647" s="2" t="s">
        <v>4050</v>
      </c>
      <c r="C647" s="14" t="s">
        <v>3613</v>
      </c>
      <c r="D647" s="2" t="s">
        <v>15</v>
      </c>
      <c r="E647" s="2" t="s">
        <v>55</v>
      </c>
      <c r="F647" s="9">
        <v>46132</v>
      </c>
      <c r="G647" s="9">
        <v>46043</v>
      </c>
      <c r="H647" s="8">
        <v>115.68</v>
      </c>
      <c r="I647" s="8">
        <v>47.56</v>
      </c>
      <c r="J647" s="9">
        <v>46137</v>
      </c>
      <c r="K647" s="2" t="s">
        <v>4051</v>
      </c>
      <c r="L647" s="2" t="s">
        <v>17</v>
      </c>
    </row>
    <row r="648" spans="1:12">
      <c r="A648" s="14" t="s">
        <v>4052</v>
      </c>
      <c r="B648" s="2" t="s">
        <v>4053</v>
      </c>
      <c r="C648" s="14" t="s">
        <v>3613</v>
      </c>
      <c r="D648" s="2" t="s">
        <v>15</v>
      </c>
      <c r="E648" s="2" t="s">
        <v>23</v>
      </c>
      <c r="F648" s="9">
        <v>46132</v>
      </c>
      <c r="G648" s="9">
        <v>46037</v>
      </c>
      <c r="H648" s="8">
        <v>221.64</v>
      </c>
      <c r="I648" s="8">
        <v>123.34</v>
      </c>
      <c r="J648" s="9">
        <v>46136</v>
      </c>
      <c r="K648" s="2" t="s">
        <v>4054</v>
      </c>
      <c r="L648" s="2" t="s">
        <v>17</v>
      </c>
    </row>
    <row r="649" spans="1:12">
      <c r="A649" s="14" t="s">
        <v>4055</v>
      </c>
      <c r="B649" s="2" t="s">
        <v>4056</v>
      </c>
      <c r="C649" s="14" t="s">
        <v>3613</v>
      </c>
      <c r="D649" s="2" t="s">
        <v>15</v>
      </c>
      <c r="E649" s="2" t="s">
        <v>16</v>
      </c>
      <c r="F649" s="9">
        <v>46135</v>
      </c>
      <c r="G649" s="9">
        <v>46037</v>
      </c>
      <c r="H649" s="8">
        <v>201.88</v>
      </c>
      <c r="I649" s="8"/>
      <c r="J649" s="9"/>
      <c r="K649" s="2"/>
      <c r="L649" s="2" t="s">
        <v>17</v>
      </c>
    </row>
    <row r="650" spans="1:12">
      <c r="A650" s="14" t="s">
        <v>4057</v>
      </c>
      <c r="B650" s="2" t="s">
        <v>4058</v>
      </c>
      <c r="C650" s="14" t="s">
        <v>3613</v>
      </c>
      <c r="D650" s="2" t="s">
        <v>15</v>
      </c>
      <c r="E650" s="2" t="s">
        <v>23</v>
      </c>
      <c r="F650" s="9">
        <v>46136</v>
      </c>
      <c r="G650" s="9">
        <v>46047</v>
      </c>
      <c r="H650" s="8">
        <v>53.99</v>
      </c>
      <c r="I650" s="8">
        <v>15.84</v>
      </c>
      <c r="J650" s="9">
        <v>46140</v>
      </c>
      <c r="K650" s="2" t="s">
        <v>4059</v>
      </c>
      <c r="L650" s="2" t="s">
        <v>17</v>
      </c>
    </row>
    <row r="651" spans="1:12">
      <c r="A651" s="14" t="s">
        <v>4060</v>
      </c>
      <c r="B651" s="2" t="s">
        <v>4061</v>
      </c>
      <c r="C651" s="14" t="s">
        <v>3613</v>
      </c>
      <c r="D651" s="2" t="s">
        <v>15</v>
      </c>
      <c r="E651" s="2" t="s">
        <v>55</v>
      </c>
      <c r="F651" s="9">
        <v>46135</v>
      </c>
      <c r="G651" s="9">
        <v>46047</v>
      </c>
      <c r="H651" s="8">
        <v>171.66</v>
      </c>
      <c r="I651" s="8">
        <v>30.64</v>
      </c>
      <c r="J651" s="9">
        <v>46139</v>
      </c>
      <c r="K651" s="2" t="s">
        <v>4062</v>
      </c>
      <c r="L651" s="2" t="s">
        <v>17</v>
      </c>
    </row>
    <row r="652" spans="1:12">
      <c r="A652" s="14" t="s">
        <v>4063</v>
      </c>
      <c r="B652" s="2" t="s">
        <v>4064</v>
      </c>
      <c r="C652" s="14" t="s">
        <v>3613</v>
      </c>
      <c r="D652" s="2" t="s">
        <v>15</v>
      </c>
      <c r="E652" s="2" t="s">
        <v>55</v>
      </c>
      <c r="F652" s="9">
        <v>46135</v>
      </c>
      <c r="G652" s="9">
        <v>46047</v>
      </c>
      <c r="H652" s="8">
        <v>307.36</v>
      </c>
      <c r="I652" s="8">
        <v>88.05</v>
      </c>
      <c r="J652" s="9">
        <v>46140</v>
      </c>
      <c r="K652" s="2" t="s">
        <v>4065</v>
      </c>
      <c r="L652" s="2" t="s">
        <v>17</v>
      </c>
    </row>
    <row r="653" spans="1:12">
      <c r="A653" s="14" t="s">
        <v>4066</v>
      </c>
      <c r="B653" s="2" t="s">
        <v>4067</v>
      </c>
      <c r="C653" s="14" t="s">
        <v>3613</v>
      </c>
      <c r="D653" s="2" t="s">
        <v>15</v>
      </c>
      <c r="E653" s="2" t="s">
        <v>23</v>
      </c>
      <c r="F653" s="9">
        <v>46140</v>
      </c>
      <c r="G653" s="9">
        <v>46060</v>
      </c>
      <c r="H653" s="8">
        <v>229.63</v>
      </c>
      <c r="I653" s="8">
        <v>65.59</v>
      </c>
      <c r="J653" s="9">
        <v>46148</v>
      </c>
      <c r="K653" s="2" t="s">
        <v>4068</v>
      </c>
      <c r="L653" s="2" t="s">
        <v>17</v>
      </c>
    </row>
    <row r="654" spans="1:12">
      <c r="A654" s="14" t="s">
        <v>4069</v>
      </c>
      <c r="B654" s="2" t="s">
        <v>4070</v>
      </c>
      <c r="C654" s="14" t="s">
        <v>3613</v>
      </c>
      <c r="D654" s="2" t="s">
        <v>15</v>
      </c>
      <c r="E654" s="2" t="s">
        <v>23</v>
      </c>
      <c r="F654" s="9">
        <v>46140</v>
      </c>
      <c r="G654" s="9">
        <v>46060</v>
      </c>
      <c r="H654" s="8">
        <v>4057.76</v>
      </c>
      <c r="I654" s="8">
        <v>773.34</v>
      </c>
      <c r="J654" s="9">
        <v>46114</v>
      </c>
      <c r="K654" s="2" t="s">
        <v>4071</v>
      </c>
      <c r="L654" s="2" t="s">
        <v>17</v>
      </c>
    </row>
    <row r="655" spans="1:12">
      <c r="A655" s="14" t="s">
        <v>35</v>
      </c>
      <c r="B655" s="2" t="s">
        <v>36</v>
      </c>
      <c r="C655" s="14" t="s">
        <v>14</v>
      </c>
      <c r="D655" s="2" t="s">
        <v>15</v>
      </c>
      <c r="E655" s="2" t="s">
        <v>55</v>
      </c>
      <c r="F655" s="9">
        <v>46140</v>
      </c>
      <c r="G655" s="9">
        <v>46113</v>
      </c>
      <c r="H655" s="8">
        <v>90.39</v>
      </c>
      <c r="I655" s="8">
        <v>40.6</v>
      </c>
      <c r="J655" s="9">
        <v>46115</v>
      </c>
      <c r="K655" s="2" t="s">
        <v>4072</v>
      </c>
      <c r="L655" s="2" t="s">
        <v>17</v>
      </c>
    </row>
    <row r="656" spans="1:12">
      <c r="A656" s="14" t="s">
        <v>3493</v>
      </c>
      <c r="B656" s="2" t="s">
        <v>3494</v>
      </c>
      <c r="C656" s="14" t="s">
        <v>14</v>
      </c>
      <c r="D656" s="2" t="s">
        <v>15</v>
      </c>
      <c r="E656" s="2" t="s">
        <v>55</v>
      </c>
      <c r="F656" s="9">
        <v>46140</v>
      </c>
      <c r="G656" s="9">
        <v>46113</v>
      </c>
      <c r="H656" s="8">
        <v>99.99</v>
      </c>
      <c r="I656" s="8">
        <v>28.54</v>
      </c>
      <c r="J656" s="9">
        <v>46114</v>
      </c>
      <c r="K656" s="2" t="s">
        <v>4073</v>
      </c>
      <c r="L656" s="2" t="s">
        <v>17</v>
      </c>
    </row>
    <row r="657" spans="1:12">
      <c r="A657" s="14" t="s">
        <v>115</v>
      </c>
      <c r="B657" s="2" t="s">
        <v>116</v>
      </c>
      <c r="C657" s="14" t="s">
        <v>14</v>
      </c>
      <c r="D657" s="2" t="s">
        <v>15</v>
      </c>
      <c r="E657" s="2" t="s">
        <v>55</v>
      </c>
      <c r="F657" s="9">
        <v>46140</v>
      </c>
      <c r="G657" s="9">
        <v>46113</v>
      </c>
      <c r="H657" s="8">
        <v>109.99</v>
      </c>
      <c r="I657" s="8">
        <v>35.69</v>
      </c>
      <c r="J657" s="9">
        <v>46114</v>
      </c>
      <c r="K657" s="2" t="s">
        <v>4074</v>
      </c>
      <c r="L657" s="2" t="s">
        <v>17</v>
      </c>
    </row>
    <row r="658" spans="1:12">
      <c r="A658" s="14" t="s">
        <v>41</v>
      </c>
      <c r="B658" s="2" t="s">
        <v>42</v>
      </c>
      <c r="C658" s="14" t="s">
        <v>14</v>
      </c>
      <c r="D658" s="2" t="s">
        <v>15</v>
      </c>
      <c r="E658" s="2" t="s">
        <v>16</v>
      </c>
      <c r="F658" s="9">
        <v>46140</v>
      </c>
      <c r="G658" s="9">
        <v>46113</v>
      </c>
      <c r="H658" s="8">
        <v>35.75</v>
      </c>
      <c r="I658" s="8"/>
      <c r="J658" s="9"/>
      <c r="K658" s="2"/>
      <c r="L658" s="2" t="s">
        <v>17</v>
      </c>
    </row>
    <row r="659" spans="1:12">
      <c r="A659" s="14" t="s">
        <v>4075</v>
      </c>
      <c r="B659" s="2" t="s">
        <v>4076</v>
      </c>
      <c r="C659" s="14" t="s">
        <v>14</v>
      </c>
      <c r="D659" s="2" t="s">
        <v>15</v>
      </c>
      <c r="E659" s="2" t="s">
        <v>58</v>
      </c>
      <c r="F659" s="9">
        <v>46140</v>
      </c>
      <c r="G659" s="9">
        <v>46113</v>
      </c>
      <c r="H659" s="8">
        <v>109.99</v>
      </c>
      <c r="I659" s="8">
        <v>45.08</v>
      </c>
      <c r="J659" s="9">
        <v>46145</v>
      </c>
      <c r="K659" s="2" t="s">
        <v>4077</v>
      </c>
      <c r="L659" s="2" t="s">
        <v>17</v>
      </c>
    </row>
    <row r="660" spans="1:12">
      <c r="A660" s="14" t="s">
        <v>1382</v>
      </c>
      <c r="B660" s="2" t="s">
        <v>1383</v>
      </c>
      <c r="C660" s="14" t="s">
        <v>14</v>
      </c>
      <c r="D660" s="2" t="s">
        <v>15</v>
      </c>
      <c r="E660" s="2" t="s">
        <v>55</v>
      </c>
      <c r="F660" s="9">
        <v>46142</v>
      </c>
      <c r="G660" s="9">
        <v>46113</v>
      </c>
      <c r="H660" s="8">
        <v>94.29</v>
      </c>
      <c r="I660" s="8">
        <v>20.71</v>
      </c>
      <c r="J660" s="9">
        <v>46146</v>
      </c>
      <c r="K660" s="2" t="s">
        <v>4078</v>
      </c>
      <c r="L660" s="2" t="s">
        <v>17</v>
      </c>
    </row>
    <row r="661" spans="1:12">
      <c r="A661" s="14" t="s">
        <v>4079</v>
      </c>
      <c r="B661" s="2" t="s">
        <v>3510</v>
      </c>
      <c r="C661" s="14" t="s">
        <v>14</v>
      </c>
      <c r="D661" s="2" t="s">
        <v>15</v>
      </c>
      <c r="E661" s="2" t="s">
        <v>4080</v>
      </c>
      <c r="F661" s="9">
        <v>46140</v>
      </c>
      <c r="G661" s="9">
        <v>46113</v>
      </c>
      <c r="H661" s="8">
        <v>99.99</v>
      </c>
      <c r="I661" s="8">
        <v>48.88</v>
      </c>
      <c r="J661" s="9">
        <v>46144</v>
      </c>
      <c r="K661" s="2" t="s">
        <v>4081</v>
      </c>
      <c r="L661" s="2" t="s">
        <v>17</v>
      </c>
    </row>
    <row r="662" spans="1:12">
      <c r="A662" s="14" t="s">
        <v>4082</v>
      </c>
      <c r="B662" s="2" t="s">
        <v>4083</v>
      </c>
      <c r="C662" s="14" t="s">
        <v>14</v>
      </c>
      <c r="D662" s="2" t="s">
        <v>15</v>
      </c>
      <c r="E662" s="2" t="s">
        <v>16</v>
      </c>
      <c r="F662" s="9">
        <v>46140</v>
      </c>
      <c r="G662" s="9">
        <v>46113</v>
      </c>
      <c r="H662" s="8">
        <v>4.67</v>
      </c>
      <c r="I662" s="8"/>
      <c r="J662" s="9"/>
      <c r="K662" s="2"/>
      <c r="L662" s="2" t="s">
        <v>17</v>
      </c>
    </row>
    <row r="663" spans="1:12">
      <c r="A663" s="14" t="s">
        <v>109</v>
      </c>
      <c r="B663" s="2" t="s">
        <v>110</v>
      </c>
      <c r="C663" s="14" t="s">
        <v>14</v>
      </c>
      <c r="D663" s="2" t="s">
        <v>15</v>
      </c>
      <c r="E663" s="2" t="s">
        <v>55</v>
      </c>
      <c r="F663" s="9">
        <v>46140</v>
      </c>
      <c r="G663" s="9">
        <v>46113</v>
      </c>
      <c r="H663" s="8">
        <v>99.99</v>
      </c>
      <c r="I663" s="8">
        <v>40.57</v>
      </c>
      <c r="J663" s="9">
        <v>46115</v>
      </c>
      <c r="K663" s="2" t="s">
        <v>4084</v>
      </c>
      <c r="L663" s="2" t="s">
        <v>17</v>
      </c>
    </row>
    <row r="664" spans="1:12">
      <c r="A664" s="14" t="s">
        <v>3517</v>
      </c>
      <c r="B664" s="2" t="s">
        <v>3518</v>
      </c>
      <c r="C664" s="14" t="s">
        <v>14</v>
      </c>
      <c r="D664" s="2" t="s">
        <v>15</v>
      </c>
      <c r="E664" s="2" t="s">
        <v>58</v>
      </c>
      <c r="F664" s="9">
        <v>46140</v>
      </c>
      <c r="G664" s="9">
        <v>46113</v>
      </c>
      <c r="H664" s="8">
        <v>99.99</v>
      </c>
      <c r="I664" s="8">
        <v>46.15</v>
      </c>
      <c r="J664" s="9">
        <v>46144</v>
      </c>
      <c r="K664" s="2" t="s">
        <v>4085</v>
      </c>
      <c r="L664" s="2" t="s">
        <v>17</v>
      </c>
    </row>
    <row r="665" spans="1:12">
      <c r="A665" s="14" t="s">
        <v>4086</v>
      </c>
      <c r="B665" s="2" t="s">
        <v>4087</v>
      </c>
      <c r="C665" s="14" t="s">
        <v>14</v>
      </c>
      <c r="D665" s="2" t="s">
        <v>15</v>
      </c>
      <c r="E665" s="2" t="s">
        <v>16</v>
      </c>
      <c r="F665" s="9">
        <v>46140</v>
      </c>
      <c r="G665" s="9">
        <v>46113</v>
      </c>
      <c r="H665" s="8">
        <v>39.32</v>
      </c>
      <c r="I665" s="8"/>
      <c r="J665" s="9"/>
      <c r="K665" s="2"/>
      <c r="L665" s="2" t="s">
        <v>17</v>
      </c>
    </row>
    <row r="666" spans="1:12">
      <c r="A666" s="14" t="s">
        <v>1390</v>
      </c>
      <c r="B666" s="2" t="s">
        <v>1391</v>
      </c>
      <c r="C666" s="14" t="s">
        <v>14</v>
      </c>
      <c r="D666" s="2" t="s">
        <v>15</v>
      </c>
      <c r="E666" s="2" t="s">
        <v>23</v>
      </c>
      <c r="F666" s="9">
        <v>46142</v>
      </c>
      <c r="G666" s="9">
        <v>46113</v>
      </c>
      <c r="H666" s="8">
        <v>115.7</v>
      </c>
      <c r="I666" s="8">
        <v>30</v>
      </c>
      <c r="J666" s="9">
        <v>46146</v>
      </c>
      <c r="K666" s="2" t="s">
        <v>4088</v>
      </c>
      <c r="L666" s="2" t="s">
        <v>17</v>
      </c>
    </row>
    <row r="667" spans="1:12">
      <c r="A667" s="14" t="s">
        <v>102</v>
      </c>
      <c r="B667" s="2" t="s">
        <v>103</v>
      </c>
      <c r="C667" s="14" t="s">
        <v>14</v>
      </c>
      <c r="D667" s="2" t="s">
        <v>15</v>
      </c>
      <c r="E667" s="2" t="s">
        <v>2851</v>
      </c>
      <c r="F667" s="9">
        <v>46140</v>
      </c>
      <c r="G667" s="9">
        <v>46113</v>
      </c>
      <c r="H667" s="8">
        <v>51.1</v>
      </c>
      <c r="I667" s="8">
        <v>30</v>
      </c>
      <c r="J667" s="9">
        <v>46143</v>
      </c>
      <c r="K667" s="2" t="s">
        <v>4089</v>
      </c>
      <c r="L667" s="2" t="s">
        <v>17</v>
      </c>
    </row>
    <row r="668" spans="1:12">
      <c r="A668" s="14" t="s">
        <v>3544</v>
      </c>
      <c r="B668" s="2" t="s">
        <v>3545</v>
      </c>
      <c r="C668" s="14" t="s">
        <v>14</v>
      </c>
      <c r="D668" s="2" t="s">
        <v>15</v>
      </c>
      <c r="E668" s="2" t="s">
        <v>23</v>
      </c>
      <c r="F668" s="9">
        <v>46140</v>
      </c>
      <c r="G668" s="9">
        <v>46119</v>
      </c>
      <c r="H668" s="8">
        <v>119.99</v>
      </c>
      <c r="I668" s="8">
        <v>54.55</v>
      </c>
      <c r="J668" s="9">
        <v>46144</v>
      </c>
      <c r="K668" s="2" t="s">
        <v>4090</v>
      </c>
      <c r="L668" s="2" t="s">
        <v>17</v>
      </c>
    </row>
    <row r="669" spans="1:12">
      <c r="A669" s="14" t="s">
        <v>4091</v>
      </c>
      <c r="B669" s="2" t="s">
        <v>4092</v>
      </c>
      <c r="C669" s="14" t="s">
        <v>14</v>
      </c>
      <c r="D669" s="2" t="s">
        <v>15</v>
      </c>
      <c r="E669" s="2" t="s">
        <v>2574</v>
      </c>
      <c r="F669" s="9">
        <v>46141</v>
      </c>
      <c r="G669" s="9">
        <v>46119</v>
      </c>
      <c r="H669" s="8">
        <v>128.04</v>
      </c>
      <c r="I669" s="8">
        <v>26.31</v>
      </c>
      <c r="J669" s="9">
        <v>46144</v>
      </c>
      <c r="K669" s="2" t="s">
        <v>4093</v>
      </c>
      <c r="L669" s="2" t="s">
        <v>17</v>
      </c>
    </row>
    <row r="670" spans="1:12">
      <c r="A670" s="14" t="s">
        <v>3527</v>
      </c>
      <c r="B670" s="2" t="s">
        <v>3528</v>
      </c>
      <c r="C670" s="14" t="s">
        <v>14</v>
      </c>
      <c r="D670" s="2" t="s">
        <v>15</v>
      </c>
      <c r="E670" s="2" t="s">
        <v>55</v>
      </c>
      <c r="F670" s="9">
        <v>46140</v>
      </c>
      <c r="G670" s="9">
        <v>46119</v>
      </c>
      <c r="H670" s="8">
        <v>129.99</v>
      </c>
      <c r="I670" s="8">
        <v>40.83</v>
      </c>
      <c r="J670" s="9">
        <v>46116</v>
      </c>
      <c r="K670" s="2" t="s">
        <v>4094</v>
      </c>
      <c r="L670" s="2" t="s">
        <v>17</v>
      </c>
    </row>
    <row r="671" spans="1:12">
      <c r="A671" s="14" t="s">
        <v>1430</v>
      </c>
      <c r="B671" s="2" t="s">
        <v>1431</v>
      </c>
      <c r="C671" s="14" t="s">
        <v>14</v>
      </c>
      <c r="D671" s="2" t="s">
        <v>15</v>
      </c>
      <c r="E671" s="2" t="s">
        <v>2574</v>
      </c>
      <c r="F671" s="9">
        <v>46140</v>
      </c>
      <c r="G671" s="9">
        <v>46119</v>
      </c>
      <c r="H671" s="8">
        <v>129.99</v>
      </c>
      <c r="I671" s="8">
        <v>52.7</v>
      </c>
      <c r="J671" s="9">
        <v>46145</v>
      </c>
      <c r="K671" s="2" t="s">
        <v>4095</v>
      </c>
      <c r="L671" s="2" t="s">
        <v>17</v>
      </c>
    </row>
    <row r="672" spans="1:12">
      <c r="A672" s="14" t="s">
        <v>67</v>
      </c>
      <c r="B672" s="2" t="s">
        <v>4096</v>
      </c>
      <c r="C672" s="14" t="s">
        <v>14</v>
      </c>
      <c r="D672" s="2" t="s">
        <v>15</v>
      </c>
      <c r="E672" s="2" t="s">
        <v>16</v>
      </c>
      <c r="F672" s="9">
        <v>46140</v>
      </c>
      <c r="G672" s="9">
        <v>46119</v>
      </c>
      <c r="H672" s="8">
        <v>13.94</v>
      </c>
      <c r="I672" s="8"/>
      <c r="J672" s="9"/>
      <c r="K672" s="2"/>
      <c r="L672" s="2" t="s">
        <v>17</v>
      </c>
    </row>
    <row r="673" spans="1:12">
      <c r="A673" s="14" t="s">
        <v>28</v>
      </c>
      <c r="B673" s="2" t="s">
        <v>29</v>
      </c>
      <c r="C673" s="14" t="s">
        <v>14</v>
      </c>
      <c r="D673" s="2" t="s">
        <v>15</v>
      </c>
      <c r="E673" s="2" t="s">
        <v>55</v>
      </c>
      <c r="F673" s="9">
        <v>46140</v>
      </c>
      <c r="G673" s="9">
        <v>46119</v>
      </c>
      <c r="H673" s="8">
        <v>109.99</v>
      </c>
      <c r="I673" s="8">
        <v>22.37</v>
      </c>
      <c r="J673" s="9">
        <v>46114</v>
      </c>
      <c r="K673" s="2" t="s">
        <v>4097</v>
      </c>
      <c r="L673" s="2" t="s">
        <v>17</v>
      </c>
    </row>
    <row r="674" spans="1:12">
      <c r="A674" s="14" t="s">
        <v>67</v>
      </c>
      <c r="B674" s="2" t="s">
        <v>68</v>
      </c>
      <c r="C674" s="14" t="s">
        <v>14</v>
      </c>
      <c r="D674" s="2" t="s">
        <v>15</v>
      </c>
      <c r="E674" s="2" t="s">
        <v>16</v>
      </c>
      <c r="F674" s="9">
        <v>46140</v>
      </c>
      <c r="G674" s="9">
        <v>46119</v>
      </c>
      <c r="H674" s="8">
        <v>9.33</v>
      </c>
      <c r="I674" s="8"/>
      <c r="J674" s="9"/>
      <c r="K674" s="2"/>
      <c r="L674" s="2" t="s">
        <v>17</v>
      </c>
    </row>
    <row r="675" spans="1:12">
      <c r="A675" s="14" t="s">
        <v>1465</v>
      </c>
      <c r="B675" s="2" t="s">
        <v>1466</v>
      </c>
      <c r="C675" s="14" t="s">
        <v>14</v>
      </c>
      <c r="D675" s="2" t="s">
        <v>15</v>
      </c>
      <c r="E675" s="2" t="s">
        <v>16</v>
      </c>
      <c r="F675" s="9">
        <v>46140</v>
      </c>
      <c r="G675" s="9">
        <v>46119</v>
      </c>
      <c r="H675" s="8">
        <v>9.33</v>
      </c>
      <c r="I675" s="8"/>
      <c r="J675" s="9"/>
      <c r="K675" s="2"/>
      <c r="L675" s="2" t="s">
        <v>17</v>
      </c>
    </row>
    <row r="676" spans="1:12">
      <c r="A676" s="14" t="s">
        <v>4098</v>
      </c>
      <c r="B676" s="2" t="s">
        <v>4099</v>
      </c>
      <c r="C676" s="14" t="s">
        <v>14</v>
      </c>
      <c r="D676" s="2" t="s">
        <v>15</v>
      </c>
      <c r="E676" s="2" t="s">
        <v>4100</v>
      </c>
      <c r="F676" s="9">
        <v>46140</v>
      </c>
      <c r="G676" s="9">
        <v>46119</v>
      </c>
      <c r="H676" s="8">
        <v>99.99</v>
      </c>
      <c r="I676" s="8">
        <v>20.53</v>
      </c>
      <c r="J676" s="9">
        <v>46143</v>
      </c>
      <c r="K676" s="2" t="s">
        <v>4101</v>
      </c>
      <c r="L676" s="2" t="s">
        <v>17</v>
      </c>
    </row>
    <row r="677" spans="1:12">
      <c r="A677" s="14" t="s">
        <v>4102</v>
      </c>
      <c r="B677" s="2" t="s">
        <v>4103</v>
      </c>
      <c r="C677" s="14" t="s">
        <v>14</v>
      </c>
      <c r="D677" s="2" t="s">
        <v>15</v>
      </c>
      <c r="E677" s="2" t="s">
        <v>4100</v>
      </c>
      <c r="F677" s="9">
        <v>46140</v>
      </c>
      <c r="G677" s="9">
        <v>46119</v>
      </c>
      <c r="H677" s="8">
        <v>109.99</v>
      </c>
      <c r="I677" s="8">
        <v>45.06</v>
      </c>
      <c r="J677" s="9">
        <v>46143</v>
      </c>
      <c r="K677" s="2" t="s">
        <v>4104</v>
      </c>
      <c r="L677" s="2" t="s">
        <v>17</v>
      </c>
    </row>
    <row r="678" spans="1:12">
      <c r="A678" s="14" t="s">
        <v>4105</v>
      </c>
      <c r="B678" s="2" t="s">
        <v>4106</v>
      </c>
      <c r="C678" s="14" t="s">
        <v>14</v>
      </c>
      <c r="D678" s="2" t="s">
        <v>15</v>
      </c>
      <c r="E678" s="2" t="s">
        <v>2574</v>
      </c>
      <c r="F678" s="9">
        <v>46142</v>
      </c>
      <c r="G678" s="9">
        <v>46119</v>
      </c>
      <c r="H678" s="8">
        <v>101.72</v>
      </c>
      <c r="I678" s="8">
        <v>41.24</v>
      </c>
      <c r="J678" s="9">
        <v>46147</v>
      </c>
      <c r="K678" s="2" t="s">
        <v>4107</v>
      </c>
      <c r="L678" s="2" t="s">
        <v>17</v>
      </c>
    </row>
    <row r="679" spans="1:12">
      <c r="A679" s="14" t="s">
        <v>3529</v>
      </c>
      <c r="B679" s="2" t="s">
        <v>3530</v>
      </c>
      <c r="C679" s="14" t="s">
        <v>14</v>
      </c>
      <c r="D679" s="2" t="s">
        <v>15</v>
      </c>
      <c r="E679" s="2" t="s">
        <v>55</v>
      </c>
      <c r="F679" s="9">
        <v>46140</v>
      </c>
      <c r="G679" s="9">
        <v>46119</v>
      </c>
      <c r="H679" s="8">
        <v>112.91</v>
      </c>
      <c r="I679" s="8">
        <v>63.01</v>
      </c>
      <c r="J679" s="9">
        <v>46115</v>
      </c>
      <c r="K679" s="2" t="s">
        <v>4108</v>
      </c>
      <c r="L679" s="2" t="s">
        <v>17</v>
      </c>
    </row>
    <row r="680" spans="1:12">
      <c r="A680" s="14" t="s">
        <v>4109</v>
      </c>
      <c r="B680" s="2" t="s">
        <v>4110</v>
      </c>
      <c r="C680" s="14" t="s">
        <v>14</v>
      </c>
      <c r="D680" s="2" t="s">
        <v>15</v>
      </c>
      <c r="E680" s="2" t="s">
        <v>23</v>
      </c>
      <c r="F680" s="9">
        <v>46142</v>
      </c>
      <c r="G680" s="9">
        <v>46119</v>
      </c>
      <c r="H680" s="8">
        <v>102.61</v>
      </c>
      <c r="I680" s="8">
        <v>30</v>
      </c>
      <c r="J680" s="9">
        <v>46146</v>
      </c>
      <c r="K680" s="2" t="s">
        <v>4111</v>
      </c>
      <c r="L680" s="2" t="s">
        <v>17</v>
      </c>
    </row>
    <row r="681" spans="1:12">
      <c r="A681" s="14" t="s">
        <v>3566</v>
      </c>
      <c r="B681" s="2" t="s">
        <v>3567</v>
      </c>
      <c r="C681" s="14" t="s">
        <v>14</v>
      </c>
      <c r="D681" s="2" t="s">
        <v>15</v>
      </c>
      <c r="E681" s="2" t="s">
        <v>3638</v>
      </c>
      <c r="F681" s="9">
        <v>46141</v>
      </c>
      <c r="G681" s="9">
        <v>46119</v>
      </c>
      <c r="H681" s="8">
        <v>109.34</v>
      </c>
      <c r="I681" s="8">
        <v>67</v>
      </c>
      <c r="J681" s="9">
        <v>46114</v>
      </c>
      <c r="K681" s="2" t="s">
        <v>4112</v>
      </c>
      <c r="L681" s="2" t="s">
        <v>17</v>
      </c>
    </row>
    <row r="682" spans="1:12">
      <c r="A682" s="14" t="s">
        <v>32</v>
      </c>
      <c r="B682" s="2" t="s">
        <v>33</v>
      </c>
      <c r="C682" s="14" t="s">
        <v>14</v>
      </c>
      <c r="D682" s="2" t="s">
        <v>15</v>
      </c>
      <c r="E682" s="2" t="s">
        <v>3638</v>
      </c>
      <c r="F682" s="9">
        <v>46140</v>
      </c>
      <c r="G682" s="9">
        <v>46119</v>
      </c>
      <c r="H682" s="8">
        <v>129.41999999999999</v>
      </c>
      <c r="I682" s="8">
        <v>53.28</v>
      </c>
      <c r="J682" s="9">
        <v>46115</v>
      </c>
      <c r="K682" s="2" t="s">
        <v>4113</v>
      </c>
      <c r="L682" s="2" t="s">
        <v>17</v>
      </c>
    </row>
    <row r="683" spans="1:12">
      <c r="A683" s="14" t="s">
        <v>1485</v>
      </c>
      <c r="B683" s="2" t="s">
        <v>1486</v>
      </c>
      <c r="C683" s="14" t="s">
        <v>14</v>
      </c>
      <c r="D683" s="2" t="s">
        <v>15</v>
      </c>
      <c r="E683" s="2" t="s">
        <v>2851</v>
      </c>
      <c r="F683" s="9">
        <v>46142</v>
      </c>
      <c r="G683" s="9">
        <v>46119</v>
      </c>
      <c r="H683" s="8">
        <v>109.99</v>
      </c>
      <c r="I683" s="8">
        <v>30</v>
      </c>
      <c r="J683" s="9">
        <v>46146</v>
      </c>
      <c r="K683" s="2" t="s">
        <v>4114</v>
      </c>
      <c r="L683" s="2" t="s">
        <v>17</v>
      </c>
    </row>
    <row r="684" spans="1:12">
      <c r="A684" s="14" t="s">
        <v>75</v>
      </c>
      <c r="B684" s="2" t="s">
        <v>76</v>
      </c>
      <c r="C684" s="14" t="s">
        <v>14</v>
      </c>
      <c r="D684" s="2" t="s">
        <v>15</v>
      </c>
      <c r="E684" s="2" t="s">
        <v>2851</v>
      </c>
      <c r="F684" s="9">
        <v>46142</v>
      </c>
      <c r="G684" s="9">
        <v>46119</v>
      </c>
      <c r="H684" s="8">
        <v>90.4</v>
      </c>
      <c r="I684" s="8">
        <v>40.58</v>
      </c>
      <c r="J684" s="9">
        <v>46117</v>
      </c>
      <c r="K684" s="2" t="s">
        <v>4115</v>
      </c>
      <c r="L684" s="2" t="s">
        <v>17</v>
      </c>
    </row>
    <row r="685" spans="1:12">
      <c r="A685" s="14" t="s">
        <v>3573</v>
      </c>
      <c r="B685" s="2" t="s">
        <v>3574</v>
      </c>
      <c r="C685" s="14" t="s">
        <v>14</v>
      </c>
      <c r="D685" s="2" t="s">
        <v>15</v>
      </c>
      <c r="E685" s="2" t="s">
        <v>2851</v>
      </c>
      <c r="F685" s="9">
        <v>46141</v>
      </c>
      <c r="G685" s="9">
        <v>46119</v>
      </c>
      <c r="H685" s="8">
        <v>99.99</v>
      </c>
      <c r="I685" s="8">
        <v>37.03</v>
      </c>
      <c r="J685" s="9">
        <v>46114</v>
      </c>
      <c r="K685" s="2" t="s">
        <v>4116</v>
      </c>
      <c r="L685" s="2" t="s">
        <v>17</v>
      </c>
    </row>
    <row r="686" spans="1:12">
      <c r="A686" s="14" t="s">
        <v>2620</v>
      </c>
      <c r="B686" s="2" t="s">
        <v>2621</v>
      </c>
      <c r="C686" s="14" t="s">
        <v>14</v>
      </c>
      <c r="D686" s="2" t="s">
        <v>15</v>
      </c>
      <c r="E686" s="2" t="s">
        <v>55</v>
      </c>
      <c r="F686" s="9">
        <v>46141</v>
      </c>
      <c r="G686" s="9">
        <v>46119</v>
      </c>
      <c r="H686" s="8">
        <v>119.99</v>
      </c>
      <c r="I686" s="8">
        <v>48</v>
      </c>
      <c r="J686" s="9">
        <v>46144</v>
      </c>
      <c r="K686" s="2" t="s">
        <v>4117</v>
      </c>
      <c r="L686" s="2" t="s">
        <v>17</v>
      </c>
    </row>
    <row r="687" spans="1:12">
      <c r="A687" s="14" t="s">
        <v>3599</v>
      </c>
      <c r="B687" s="2" t="s">
        <v>3600</v>
      </c>
      <c r="C687" s="14" t="s">
        <v>14</v>
      </c>
      <c r="D687" s="2" t="s">
        <v>15</v>
      </c>
      <c r="E687" s="2" t="s">
        <v>55</v>
      </c>
      <c r="F687" s="9">
        <v>46140</v>
      </c>
      <c r="G687" s="9">
        <v>46119</v>
      </c>
      <c r="H687" s="8">
        <v>102.39</v>
      </c>
      <c r="I687" s="8">
        <v>30.95</v>
      </c>
      <c r="J687" s="9">
        <v>46115</v>
      </c>
      <c r="K687" s="2" t="s">
        <v>4118</v>
      </c>
      <c r="L687" s="2" t="s">
        <v>17</v>
      </c>
    </row>
    <row r="688" spans="1:12">
      <c r="A688" s="14" t="s">
        <v>3604</v>
      </c>
      <c r="B688" s="2" t="s">
        <v>3605</v>
      </c>
      <c r="C688" s="14" t="s">
        <v>14</v>
      </c>
      <c r="D688" s="2" t="s">
        <v>15</v>
      </c>
      <c r="E688" s="2" t="s">
        <v>55</v>
      </c>
      <c r="F688" s="9">
        <v>46142</v>
      </c>
      <c r="G688" s="9">
        <v>46119</v>
      </c>
      <c r="H688" s="8">
        <v>99.99</v>
      </c>
      <c r="I688" s="8">
        <v>40.96</v>
      </c>
      <c r="J688" s="9">
        <v>46147</v>
      </c>
      <c r="K688" s="2" t="s">
        <v>4119</v>
      </c>
      <c r="L688" s="2" t="s">
        <v>17</v>
      </c>
    </row>
    <row r="689" spans="1:12">
      <c r="A689" s="14" t="s">
        <v>4120</v>
      </c>
      <c r="B689" s="2" t="s">
        <v>4121</v>
      </c>
      <c r="C689" s="14" t="s">
        <v>14</v>
      </c>
      <c r="D689" s="2" t="s">
        <v>15</v>
      </c>
      <c r="E689" s="2" t="s">
        <v>58</v>
      </c>
      <c r="F689" s="9">
        <v>46142</v>
      </c>
      <c r="G689" s="9">
        <v>46119</v>
      </c>
      <c r="H689" s="8">
        <v>69.680000000000007</v>
      </c>
      <c r="I689" s="8">
        <v>40.33</v>
      </c>
      <c r="J689" s="9">
        <v>46146</v>
      </c>
      <c r="K689" s="2" t="s">
        <v>4122</v>
      </c>
      <c r="L689" s="2" t="s">
        <v>17</v>
      </c>
    </row>
    <row r="690" spans="1:12">
      <c r="A690" s="14" t="s">
        <v>4123</v>
      </c>
      <c r="B690" s="2" t="s">
        <v>4124</v>
      </c>
      <c r="C690" s="14" t="s">
        <v>14</v>
      </c>
      <c r="D690" s="2" t="s">
        <v>15</v>
      </c>
      <c r="E690" s="2" t="s">
        <v>4125</v>
      </c>
      <c r="F690" s="9">
        <v>46142</v>
      </c>
      <c r="G690" s="9">
        <v>46119</v>
      </c>
      <c r="H690" s="8">
        <v>109.99</v>
      </c>
      <c r="I690" s="8">
        <v>30</v>
      </c>
      <c r="J690" s="9">
        <v>46147</v>
      </c>
      <c r="K690" s="2" t="s">
        <v>4126</v>
      </c>
      <c r="L690" s="2" t="s">
        <v>17</v>
      </c>
    </row>
    <row r="691" spans="1:12">
      <c r="A691" s="14" t="s">
        <v>4127</v>
      </c>
      <c r="B691" s="2" t="s">
        <v>4128</v>
      </c>
      <c r="C691" s="14" t="s">
        <v>14</v>
      </c>
      <c r="D691" s="2" t="s">
        <v>15</v>
      </c>
      <c r="E691" s="2" t="s">
        <v>58</v>
      </c>
      <c r="F691" s="9">
        <v>46142</v>
      </c>
      <c r="G691" s="9">
        <v>46119</v>
      </c>
      <c r="H691" s="8">
        <v>58.95</v>
      </c>
      <c r="I691" s="8">
        <v>34.11</v>
      </c>
      <c r="J691" s="9">
        <v>46147</v>
      </c>
      <c r="K691" s="2" t="s">
        <v>4129</v>
      </c>
      <c r="L691" s="2" t="s">
        <v>17</v>
      </c>
    </row>
    <row r="692" spans="1:12">
      <c r="A692" s="14" t="s">
        <v>4130</v>
      </c>
      <c r="B692" s="2" t="s">
        <v>4131</v>
      </c>
      <c r="C692" s="14" t="s">
        <v>14</v>
      </c>
      <c r="D692" s="2" t="s">
        <v>15</v>
      </c>
      <c r="E692" s="2" t="s">
        <v>23</v>
      </c>
      <c r="F692" s="9">
        <v>46142</v>
      </c>
      <c r="G692" s="9">
        <v>46119</v>
      </c>
      <c r="H692" s="8">
        <v>119.99</v>
      </c>
      <c r="I692" s="8">
        <v>48.66</v>
      </c>
      <c r="J692" s="9">
        <v>46146</v>
      </c>
      <c r="K692" s="2" t="s">
        <v>4132</v>
      </c>
      <c r="L692" s="2" t="s">
        <v>17</v>
      </c>
    </row>
    <row r="693" spans="1:12">
      <c r="A693" s="14" t="s">
        <v>2638</v>
      </c>
      <c r="B693" s="2" t="s">
        <v>2639</v>
      </c>
      <c r="C693" s="14" t="s">
        <v>14</v>
      </c>
      <c r="D693" s="2" t="s">
        <v>15</v>
      </c>
      <c r="E693" s="2" t="s">
        <v>4100</v>
      </c>
      <c r="F693" s="9">
        <v>46140</v>
      </c>
      <c r="G693" s="9">
        <v>46119</v>
      </c>
      <c r="H693" s="8">
        <v>100.84</v>
      </c>
      <c r="I693" s="8">
        <v>57.56</v>
      </c>
      <c r="J693" s="9">
        <v>46143</v>
      </c>
      <c r="K693" s="2" t="s">
        <v>4133</v>
      </c>
      <c r="L693" s="2" t="s">
        <v>17</v>
      </c>
    </row>
    <row r="694" spans="1:12">
      <c r="A694" s="14" t="s">
        <v>4134</v>
      </c>
      <c r="B694" s="2" t="s">
        <v>4135</v>
      </c>
      <c r="C694" s="14" t="s">
        <v>14</v>
      </c>
      <c r="D694" s="2" t="s">
        <v>15</v>
      </c>
      <c r="E694" s="2" t="s">
        <v>3342</v>
      </c>
      <c r="F694" s="9">
        <v>46142</v>
      </c>
      <c r="G694" s="9">
        <v>46119</v>
      </c>
      <c r="H694" s="8">
        <v>99.99</v>
      </c>
      <c r="I694" s="8">
        <v>20.48</v>
      </c>
      <c r="J694" s="9">
        <v>46144</v>
      </c>
      <c r="K694" s="2" t="s">
        <v>4136</v>
      </c>
      <c r="L694" s="2" t="s">
        <v>17</v>
      </c>
    </row>
    <row r="695" spans="1:12">
      <c r="A695" s="14" t="s">
        <v>4137</v>
      </c>
      <c r="B695" s="2" t="s">
        <v>1535</v>
      </c>
      <c r="C695" s="14" t="s">
        <v>14</v>
      </c>
      <c r="D695" s="2" t="s">
        <v>15</v>
      </c>
      <c r="E695" s="2" t="s">
        <v>16</v>
      </c>
      <c r="F695" s="9">
        <v>46140</v>
      </c>
      <c r="G695" s="9">
        <v>46119</v>
      </c>
      <c r="H695" s="8">
        <v>15.76</v>
      </c>
      <c r="I695" s="8"/>
      <c r="J695" s="9"/>
      <c r="K695" s="2"/>
      <c r="L695" s="2" t="s">
        <v>17</v>
      </c>
    </row>
    <row r="696" spans="1:12">
      <c r="A696" s="14" t="s">
        <v>4138</v>
      </c>
      <c r="B696" s="2" t="s">
        <v>4139</v>
      </c>
      <c r="C696" s="14" t="s">
        <v>14</v>
      </c>
      <c r="D696" s="2" t="s">
        <v>15</v>
      </c>
      <c r="E696" s="2" t="s">
        <v>55</v>
      </c>
      <c r="F696" s="9">
        <v>46142</v>
      </c>
      <c r="G696" s="9">
        <v>46119</v>
      </c>
      <c r="H696" s="8">
        <v>92.86</v>
      </c>
      <c r="I696" s="8">
        <v>19.54</v>
      </c>
      <c r="J696" s="9">
        <v>46147</v>
      </c>
      <c r="K696" s="2" t="s">
        <v>4140</v>
      </c>
      <c r="L696" s="2" t="s">
        <v>17</v>
      </c>
    </row>
    <row r="697" spans="1:12">
      <c r="A697" s="14" t="s">
        <v>3589</v>
      </c>
      <c r="B697" s="2" t="s">
        <v>3590</v>
      </c>
      <c r="C697" s="14" t="s">
        <v>14</v>
      </c>
      <c r="D697" s="2" t="s">
        <v>15</v>
      </c>
      <c r="E697" s="2" t="s">
        <v>3638</v>
      </c>
      <c r="F697" s="9">
        <v>46142</v>
      </c>
      <c r="G697" s="9">
        <v>46119</v>
      </c>
      <c r="H697" s="8">
        <v>109.99</v>
      </c>
      <c r="I697" s="8">
        <v>35</v>
      </c>
      <c r="J697" s="9">
        <v>46117</v>
      </c>
      <c r="K697" s="2" t="s">
        <v>4141</v>
      </c>
      <c r="L697" s="2" t="s">
        <v>17</v>
      </c>
    </row>
    <row r="698" spans="1:12">
      <c r="A698" s="14" t="s">
        <v>3588</v>
      </c>
      <c r="B698" s="2" t="s">
        <v>1546</v>
      </c>
      <c r="C698" s="14" t="s">
        <v>14</v>
      </c>
      <c r="D698" s="2" t="s">
        <v>15</v>
      </c>
      <c r="E698" s="2" t="s">
        <v>4100</v>
      </c>
      <c r="F698" s="9">
        <v>46142</v>
      </c>
      <c r="G698" s="9">
        <v>46119</v>
      </c>
      <c r="H698" s="8">
        <v>109.99</v>
      </c>
      <c r="I698" s="8">
        <v>40.51</v>
      </c>
      <c r="J698" s="9">
        <v>46146</v>
      </c>
      <c r="K698" s="2" t="s">
        <v>4142</v>
      </c>
      <c r="L698" s="2" t="s">
        <v>17</v>
      </c>
    </row>
    <row r="699" spans="1:12">
      <c r="A699" s="14" t="s">
        <v>1517</v>
      </c>
      <c r="B699" s="2" t="s">
        <v>1518</v>
      </c>
      <c r="C699" s="14" t="s">
        <v>14</v>
      </c>
      <c r="D699" s="2" t="s">
        <v>15</v>
      </c>
      <c r="E699" s="2" t="s">
        <v>55</v>
      </c>
      <c r="F699" s="9">
        <v>46141</v>
      </c>
      <c r="G699" s="9">
        <v>46119</v>
      </c>
      <c r="H699" s="8">
        <v>129.99</v>
      </c>
      <c r="I699" s="8">
        <v>45.41</v>
      </c>
      <c r="J699" s="9">
        <v>46145</v>
      </c>
      <c r="K699" s="2" t="s">
        <v>4143</v>
      </c>
      <c r="L699" s="2" t="s">
        <v>17</v>
      </c>
    </row>
    <row r="700" spans="1:12">
      <c r="A700" s="14" t="s">
        <v>1747</v>
      </c>
      <c r="B700" s="2" t="s">
        <v>1748</v>
      </c>
      <c r="C700" s="14" t="s">
        <v>14</v>
      </c>
      <c r="D700" s="2" t="s">
        <v>15</v>
      </c>
      <c r="E700" s="2" t="s">
        <v>16</v>
      </c>
      <c r="F700" s="9">
        <v>46146</v>
      </c>
      <c r="G700" s="9">
        <v>46122</v>
      </c>
      <c r="H700" s="8">
        <v>9.33</v>
      </c>
      <c r="I700" s="8"/>
      <c r="J700" s="9"/>
      <c r="K700" s="2"/>
      <c r="L700" s="2" t="s">
        <v>17</v>
      </c>
    </row>
    <row r="701" spans="1:12">
      <c r="A701" s="14" t="s">
        <v>4144</v>
      </c>
      <c r="B701" s="2" t="s">
        <v>4145</v>
      </c>
      <c r="C701" s="14" t="s">
        <v>14</v>
      </c>
      <c r="D701" s="2" t="s">
        <v>15</v>
      </c>
      <c r="E701" s="2" t="s">
        <v>23</v>
      </c>
      <c r="F701" s="9">
        <v>46169</v>
      </c>
      <c r="G701" s="9">
        <v>46122</v>
      </c>
      <c r="H701" s="8">
        <v>109.4</v>
      </c>
      <c r="I701" s="8">
        <v>45.19</v>
      </c>
      <c r="J701" s="9">
        <v>46170</v>
      </c>
      <c r="K701" s="2" t="s">
        <v>4146</v>
      </c>
      <c r="L701" s="2" t="s">
        <v>17</v>
      </c>
    </row>
    <row r="702" spans="1:12">
      <c r="A702" s="14" t="s">
        <v>4147</v>
      </c>
      <c r="B702" s="2" t="s">
        <v>4148</v>
      </c>
      <c r="C702" s="14" t="s">
        <v>14</v>
      </c>
      <c r="D702" s="2" t="s">
        <v>15</v>
      </c>
      <c r="E702" s="2" t="s">
        <v>16</v>
      </c>
      <c r="F702" s="9">
        <v>46146</v>
      </c>
      <c r="G702" s="9">
        <v>46122</v>
      </c>
      <c r="H702" s="8">
        <v>31.47</v>
      </c>
      <c r="I702" s="8"/>
      <c r="J702" s="9"/>
      <c r="K702" s="2"/>
      <c r="L702" s="2" t="s">
        <v>17</v>
      </c>
    </row>
    <row r="703" spans="1:12">
      <c r="A703" s="14" t="s">
        <v>1754</v>
      </c>
      <c r="B703" s="2" t="s">
        <v>1755</v>
      </c>
      <c r="C703" s="14" t="s">
        <v>14</v>
      </c>
      <c r="D703" s="2" t="s">
        <v>15</v>
      </c>
      <c r="E703" s="2" t="s">
        <v>16</v>
      </c>
      <c r="F703" s="9">
        <v>46146</v>
      </c>
      <c r="G703" s="9">
        <v>46122</v>
      </c>
      <c r="H703" s="8">
        <v>27.56</v>
      </c>
      <c r="I703" s="8"/>
      <c r="J703" s="9"/>
      <c r="K703" s="2"/>
      <c r="L703" s="2" t="s">
        <v>17</v>
      </c>
    </row>
    <row r="704" spans="1:12">
      <c r="A704" s="14" t="s">
        <v>1780</v>
      </c>
      <c r="B704" s="2" t="s">
        <v>1781</v>
      </c>
      <c r="C704" s="14" t="s">
        <v>14</v>
      </c>
      <c r="D704" s="2" t="s">
        <v>15</v>
      </c>
      <c r="E704" s="2" t="s">
        <v>4100</v>
      </c>
      <c r="F704" s="9">
        <v>46155</v>
      </c>
      <c r="G704" s="9">
        <v>46122</v>
      </c>
      <c r="H704" s="8">
        <v>90.4</v>
      </c>
      <c r="I704" s="8">
        <v>40.64</v>
      </c>
      <c r="J704" s="9">
        <v>46159</v>
      </c>
      <c r="K704" s="2" t="s">
        <v>4149</v>
      </c>
      <c r="L704" s="2" t="s">
        <v>17</v>
      </c>
    </row>
    <row r="705" spans="1:12">
      <c r="A705" s="14" t="s">
        <v>4150</v>
      </c>
      <c r="B705" s="2" t="s">
        <v>4151</v>
      </c>
      <c r="C705" s="14" t="s">
        <v>14</v>
      </c>
      <c r="D705" s="2" t="s">
        <v>15</v>
      </c>
      <c r="E705" s="2" t="s">
        <v>23</v>
      </c>
      <c r="F705" s="9">
        <v>46156</v>
      </c>
      <c r="G705" s="9">
        <v>46122</v>
      </c>
      <c r="H705" s="8">
        <v>109.4</v>
      </c>
      <c r="I705" s="8">
        <v>38.28</v>
      </c>
      <c r="J705" s="9">
        <v>46160</v>
      </c>
      <c r="K705" s="2" t="s">
        <v>4152</v>
      </c>
      <c r="L705" s="2" t="s">
        <v>17</v>
      </c>
    </row>
    <row r="706" spans="1:12">
      <c r="A706" s="14" t="s">
        <v>4153</v>
      </c>
      <c r="B706" s="2" t="s">
        <v>4154</v>
      </c>
      <c r="C706" s="14" t="s">
        <v>14</v>
      </c>
      <c r="D706" s="2" t="s">
        <v>15</v>
      </c>
      <c r="E706" s="2" t="s">
        <v>23</v>
      </c>
      <c r="F706" s="9">
        <v>46154</v>
      </c>
      <c r="G706" s="9">
        <v>46122</v>
      </c>
      <c r="H706" s="8">
        <v>109.99</v>
      </c>
      <c r="I706" s="8">
        <v>21.73</v>
      </c>
      <c r="J706" s="9">
        <v>46159</v>
      </c>
      <c r="K706" s="2" t="s">
        <v>4155</v>
      </c>
      <c r="L706" s="2" t="s">
        <v>17</v>
      </c>
    </row>
    <row r="707" spans="1:12">
      <c r="A707" s="14" t="s">
        <v>4156</v>
      </c>
      <c r="B707" s="2" t="s">
        <v>4157</v>
      </c>
      <c r="C707" s="14" t="s">
        <v>14</v>
      </c>
      <c r="D707" s="2" t="s">
        <v>15</v>
      </c>
      <c r="E707" s="2" t="s">
        <v>55</v>
      </c>
      <c r="F707" s="9">
        <v>46153</v>
      </c>
      <c r="G707" s="9">
        <v>46122</v>
      </c>
      <c r="H707" s="8">
        <v>100.64</v>
      </c>
      <c r="I707" s="8">
        <v>41.31</v>
      </c>
      <c r="J707" s="9">
        <v>46154</v>
      </c>
      <c r="K707" s="2" t="s">
        <v>4158</v>
      </c>
      <c r="L707" s="2" t="s">
        <v>17</v>
      </c>
    </row>
    <row r="708" spans="1:12">
      <c r="A708" s="14" t="s">
        <v>2752</v>
      </c>
      <c r="B708" s="2" t="s">
        <v>2753</v>
      </c>
      <c r="C708" s="14" t="s">
        <v>14</v>
      </c>
      <c r="D708" s="2" t="s">
        <v>15</v>
      </c>
      <c r="E708" s="2" t="s">
        <v>4159</v>
      </c>
      <c r="F708" s="9">
        <v>46160</v>
      </c>
      <c r="G708" s="9">
        <v>46122</v>
      </c>
      <c r="H708" s="8">
        <v>100.77</v>
      </c>
      <c r="I708" s="8">
        <v>38.450000000000003</v>
      </c>
      <c r="J708" s="9">
        <v>46168</v>
      </c>
      <c r="K708" s="2" t="s">
        <v>4160</v>
      </c>
      <c r="L708" s="2" t="s">
        <v>17</v>
      </c>
    </row>
    <row r="709" spans="1:12">
      <c r="A709" s="14" t="s">
        <v>4161</v>
      </c>
      <c r="B709" s="2" t="s">
        <v>4162</v>
      </c>
      <c r="C709" s="14" t="s">
        <v>14</v>
      </c>
      <c r="D709" s="2" t="s">
        <v>15</v>
      </c>
      <c r="E709" s="2" t="s">
        <v>2633</v>
      </c>
      <c r="F709" s="9">
        <v>46155</v>
      </c>
      <c r="G709" s="9">
        <v>46122</v>
      </c>
      <c r="H709" s="8">
        <v>129.47999999999999</v>
      </c>
      <c r="I709" s="8">
        <v>53.17</v>
      </c>
      <c r="J709" s="9">
        <v>46160</v>
      </c>
      <c r="K709" s="2" t="s">
        <v>4163</v>
      </c>
      <c r="L709" s="2" t="s">
        <v>17</v>
      </c>
    </row>
    <row r="710" spans="1:12">
      <c r="A710" s="14" t="s">
        <v>176</v>
      </c>
      <c r="B710" s="2" t="s">
        <v>177</v>
      </c>
      <c r="C710" s="14" t="s">
        <v>14</v>
      </c>
      <c r="D710" s="2" t="s">
        <v>15</v>
      </c>
      <c r="E710" s="2" t="s">
        <v>2574</v>
      </c>
      <c r="F710" s="9">
        <v>46153</v>
      </c>
      <c r="G710" s="9">
        <v>46122</v>
      </c>
      <c r="H710" s="8">
        <v>86.46</v>
      </c>
      <c r="I710" s="8">
        <v>17.8</v>
      </c>
      <c r="J710" s="9">
        <v>46154</v>
      </c>
      <c r="K710" s="2" t="s">
        <v>4164</v>
      </c>
      <c r="L710" s="2" t="s">
        <v>17</v>
      </c>
    </row>
    <row r="711" spans="1:12">
      <c r="A711" s="14" t="s">
        <v>3685</v>
      </c>
      <c r="B711" s="2" t="s">
        <v>3686</v>
      </c>
      <c r="C711" s="14" t="s">
        <v>14</v>
      </c>
      <c r="D711" s="2" t="s">
        <v>15</v>
      </c>
      <c r="E711" s="2" t="s">
        <v>2633</v>
      </c>
      <c r="F711" s="9">
        <v>46153</v>
      </c>
      <c r="G711" s="9">
        <v>46122</v>
      </c>
      <c r="H711" s="8">
        <v>132.94</v>
      </c>
      <c r="I711" s="8">
        <v>56.38</v>
      </c>
      <c r="J711" s="9">
        <v>46156</v>
      </c>
      <c r="K711" s="2" t="s">
        <v>4165</v>
      </c>
      <c r="L711" s="2" t="s">
        <v>17</v>
      </c>
    </row>
    <row r="712" spans="1:12">
      <c r="A712" s="14" t="s">
        <v>132</v>
      </c>
      <c r="B712" s="2" t="s">
        <v>133</v>
      </c>
      <c r="C712" s="14" t="s">
        <v>14</v>
      </c>
      <c r="D712" s="2" t="s">
        <v>15</v>
      </c>
      <c r="E712" s="2" t="s">
        <v>2574</v>
      </c>
      <c r="F712" s="9">
        <v>46153</v>
      </c>
      <c r="G712" s="9">
        <v>46122</v>
      </c>
      <c r="H712" s="8">
        <v>109.99</v>
      </c>
      <c r="I712" s="8">
        <v>22.04</v>
      </c>
      <c r="J712" s="9">
        <v>46155</v>
      </c>
      <c r="K712" s="2" t="s">
        <v>4166</v>
      </c>
      <c r="L712" s="2" t="s">
        <v>17</v>
      </c>
    </row>
    <row r="713" spans="1:12">
      <c r="A713" s="14" t="s">
        <v>2722</v>
      </c>
      <c r="B713" s="2" t="s">
        <v>2723</v>
      </c>
      <c r="C713" s="14" t="s">
        <v>14</v>
      </c>
      <c r="D713" s="2" t="s">
        <v>15</v>
      </c>
      <c r="E713" s="2" t="s">
        <v>55</v>
      </c>
      <c r="F713" s="9">
        <v>46153</v>
      </c>
      <c r="G713" s="9">
        <v>46122</v>
      </c>
      <c r="H713" s="8">
        <v>99.99</v>
      </c>
      <c r="I713" s="8">
        <v>51.05</v>
      </c>
      <c r="J713" s="9">
        <v>46153</v>
      </c>
      <c r="K713" s="2" t="s">
        <v>4167</v>
      </c>
      <c r="L713" s="2" t="s">
        <v>17</v>
      </c>
    </row>
    <row r="714" spans="1:12">
      <c r="A714" s="14" t="s">
        <v>4168</v>
      </c>
      <c r="B714" s="2" t="s">
        <v>4169</v>
      </c>
      <c r="C714" s="14" t="s">
        <v>14</v>
      </c>
      <c r="D714" s="2" t="s">
        <v>15</v>
      </c>
      <c r="E714" s="2" t="s">
        <v>4100</v>
      </c>
      <c r="F714" s="9">
        <v>46155</v>
      </c>
      <c r="G714" s="9">
        <v>46122</v>
      </c>
      <c r="H714" s="8">
        <v>109.43</v>
      </c>
      <c r="I714" s="8">
        <v>44.55</v>
      </c>
      <c r="J714" s="9">
        <v>46157</v>
      </c>
      <c r="K714" s="2" t="s">
        <v>4170</v>
      </c>
      <c r="L714" s="2" t="s">
        <v>17</v>
      </c>
    </row>
    <row r="715" spans="1:12">
      <c r="A715" s="14" t="s">
        <v>4171</v>
      </c>
      <c r="B715" s="2" t="s">
        <v>4172</v>
      </c>
      <c r="C715" s="14" t="s">
        <v>14</v>
      </c>
      <c r="D715" s="2" t="s">
        <v>15</v>
      </c>
      <c r="E715" s="2" t="s">
        <v>23</v>
      </c>
      <c r="F715" s="9">
        <v>46146</v>
      </c>
      <c r="G715" s="9">
        <v>46122</v>
      </c>
      <c r="H715" s="8">
        <v>109.99</v>
      </c>
      <c r="I715" s="8">
        <v>22.35</v>
      </c>
      <c r="J715" s="9">
        <v>46154</v>
      </c>
      <c r="K715" s="2" t="s">
        <v>4173</v>
      </c>
      <c r="L715" s="2" t="s">
        <v>17</v>
      </c>
    </row>
    <row r="716" spans="1:12">
      <c r="A716" s="14" t="s">
        <v>197</v>
      </c>
      <c r="B716" s="2" t="s">
        <v>198</v>
      </c>
      <c r="C716" s="14" t="s">
        <v>14</v>
      </c>
      <c r="D716" s="2" t="s">
        <v>15</v>
      </c>
      <c r="E716" s="2" t="s">
        <v>2851</v>
      </c>
      <c r="F716" s="9">
        <v>46153</v>
      </c>
      <c r="G716" s="9">
        <v>46122</v>
      </c>
      <c r="H716" s="8">
        <v>108.66</v>
      </c>
      <c r="I716" s="8">
        <v>22.37</v>
      </c>
      <c r="J716" s="9">
        <v>46153</v>
      </c>
      <c r="K716" s="2" t="s">
        <v>4174</v>
      </c>
      <c r="L716" s="2" t="s">
        <v>17</v>
      </c>
    </row>
    <row r="717" spans="1:12">
      <c r="A717" s="14" t="s">
        <v>179</v>
      </c>
      <c r="B717" s="2" t="s">
        <v>180</v>
      </c>
      <c r="C717" s="14" t="s">
        <v>14</v>
      </c>
      <c r="D717" s="2" t="s">
        <v>15</v>
      </c>
      <c r="E717" s="2" t="s">
        <v>4100</v>
      </c>
      <c r="F717" s="9">
        <v>46153</v>
      </c>
      <c r="G717" s="9">
        <v>46122</v>
      </c>
      <c r="H717" s="8">
        <v>82.15</v>
      </c>
      <c r="I717" s="8">
        <v>36.92</v>
      </c>
      <c r="J717" s="9">
        <v>46157</v>
      </c>
      <c r="K717" s="2" t="s">
        <v>4175</v>
      </c>
      <c r="L717" s="2" t="s">
        <v>17</v>
      </c>
    </row>
    <row r="718" spans="1:12">
      <c r="A718" s="14" t="s">
        <v>4176</v>
      </c>
      <c r="B718" s="2" t="s">
        <v>4177</v>
      </c>
      <c r="C718" s="14" t="s">
        <v>14</v>
      </c>
      <c r="D718" s="2" t="s">
        <v>15</v>
      </c>
      <c r="E718" s="2" t="s">
        <v>3638</v>
      </c>
      <c r="F718" s="9">
        <v>46153</v>
      </c>
      <c r="G718" s="9">
        <v>46122</v>
      </c>
      <c r="H718" s="8">
        <v>109.99</v>
      </c>
      <c r="I718" s="8">
        <v>10.89</v>
      </c>
      <c r="J718" s="9">
        <v>46155</v>
      </c>
      <c r="K718" s="2" t="s">
        <v>4178</v>
      </c>
      <c r="L718" s="2" t="s">
        <v>17</v>
      </c>
    </row>
    <row r="719" spans="1:12">
      <c r="A719" s="14" t="s">
        <v>1772</v>
      </c>
      <c r="B719" s="2" t="s">
        <v>1773</v>
      </c>
      <c r="C719" s="14" t="s">
        <v>14</v>
      </c>
      <c r="D719" s="2" t="s">
        <v>15</v>
      </c>
      <c r="E719" s="2" t="s">
        <v>3638</v>
      </c>
      <c r="F719" s="9">
        <v>46153</v>
      </c>
      <c r="G719" s="9">
        <v>46122</v>
      </c>
      <c r="H719" s="8">
        <v>119.88</v>
      </c>
      <c r="I719" s="8">
        <v>35.67</v>
      </c>
      <c r="J719" s="9">
        <v>46153</v>
      </c>
      <c r="K719" s="2" t="s">
        <v>4179</v>
      </c>
      <c r="L719" s="2" t="s">
        <v>17</v>
      </c>
    </row>
    <row r="720" spans="1:12">
      <c r="A720" s="14" t="s">
        <v>171</v>
      </c>
      <c r="B720" s="2" t="s">
        <v>172</v>
      </c>
      <c r="C720" s="14" t="s">
        <v>14</v>
      </c>
      <c r="D720" s="2" t="s">
        <v>15</v>
      </c>
      <c r="E720" s="2" t="s">
        <v>2851</v>
      </c>
      <c r="F720" s="9">
        <v>46146</v>
      </c>
      <c r="G720" s="9">
        <v>46122</v>
      </c>
      <c r="H720" s="8">
        <v>90.4</v>
      </c>
      <c r="I720" s="8">
        <v>30</v>
      </c>
      <c r="J720" s="9">
        <v>46153</v>
      </c>
      <c r="K720" s="2" t="s">
        <v>4180</v>
      </c>
      <c r="L720" s="2" t="s">
        <v>17</v>
      </c>
    </row>
    <row r="721" spans="1:12">
      <c r="A721" s="14" t="s">
        <v>149</v>
      </c>
      <c r="B721" s="2" t="s">
        <v>150</v>
      </c>
      <c r="C721" s="14" t="s">
        <v>14</v>
      </c>
      <c r="D721" s="2" t="s">
        <v>15</v>
      </c>
      <c r="E721" s="2" t="s">
        <v>2633</v>
      </c>
      <c r="F721" s="9">
        <v>46153</v>
      </c>
      <c r="G721" s="9">
        <v>46122</v>
      </c>
      <c r="H721" s="8">
        <v>109.41</v>
      </c>
      <c r="I721" s="8">
        <v>20</v>
      </c>
      <c r="J721" s="9">
        <v>46155</v>
      </c>
      <c r="K721" s="2" t="s">
        <v>4181</v>
      </c>
      <c r="L721" s="2" t="s">
        <v>17</v>
      </c>
    </row>
    <row r="722" spans="1:12">
      <c r="A722" s="14" t="s">
        <v>3624</v>
      </c>
      <c r="B722" s="2" t="s">
        <v>3625</v>
      </c>
      <c r="C722" s="14" t="s">
        <v>14</v>
      </c>
      <c r="D722" s="2" t="s">
        <v>15</v>
      </c>
      <c r="E722" s="2" t="s">
        <v>2574</v>
      </c>
      <c r="F722" s="9">
        <v>46153</v>
      </c>
      <c r="G722" s="9">
        <v>46122</v>
      </c>
      <c r="H722" s="8">
        <v>109.75</v>
      </c>
      <c r="I722" s="8">
        <v>33.89</v>
      </c>
      <c r="J722" s="9">
        <v>46153</v>
      </c>
      <c r="K722" s="2" t="s">
        <v>4182</v>
      </c>
      <c r="L722" s="2" t="s">
        <v>17</v>
      </c>
    </row>
    <row r="723" spans="1:12">
      <c r="A723" s="14" t="s">
        <v>3689</v>
      </c>
      <c r="B723" s="2" t="s">
        <v>3690</v>
      </c>
      <c r="C723" s="14" t="s">
        <v>14</v>
      </c>
      <c r="D723" s="2" t="s">
        <v>15</v>
      </c>
      <c r="E723" s="2" t="s">
        <v>23</v>
      </c>
      <c r="F723" s="9">
        <v>46153</v>
      </c>
      <c r="G723" s="9">
        <v>46122</v>
      </c>
      <c r="H723" s="8">
        <v>75.05</v>
      </c>
      <c r="I723" s="8">
        <v>30</v>
      </c>
      <c r="J723" s="9">
        <v>46154</v>
      </c>
      <c r="K723" s="2" t="s">
        <v>4183</v>
      </c>
      <c r="L723" s="2" t="s">
        <v>17</v>
      </c>
    </row>
    <row r="724" spans="1:12">
      <c r="A724" s="14" t="s">
        <v>4184</v>
      </c>
      <c r="B724" s="2" t="s">
        <v>4185</v>
      </c>
      <c r="C724" s="14" t="s">
        <v>14</v>
      </c>
      <c r="D724" s="2" t="s">
        <v>15</v>
      </c>
      <c r="E724" s="2" t="s">
        <v>16</v>
      </c>
      <c r="F724" s="9">
        <v>46146</v>
      </c>
      <c r="G724" s="9">
        <v>46122</v>
      </c>
      <c r="H724" s="8">
        <v>7.89</v>
      </c>
      <c r="I724" s="8"/>
      <c r="J724" s="9"/>
      <c r="K724" s="2"/>
      <c r="L724" s="2" t="s">
        <v>17</v>
      </c>
    </row>
    <row r="725" spans="1:12">
      <c r="A725" s="14" t="s">
        <v>4186</v>
      </c>
      <c r="B725" s="2" t="s">
        <v>4187</v>
      </c>
      <c r="C725" s="14" t="s">
        <v>14</v>
      </c>
      <c r="D725" s="2" t="s">
        <v>15</v>
      </c>
      <c r="E725" s="2" t="s">
        <v>16</v>
      </c>
      <c r="F725" s="9">
        <v>46146</v>
      </c>
      <c r="G725" s="9">
        <v>46122</v>
      </c>
      <c r="H725" s="8">
        <v>19.670000000000002</v>
      </c>
      <c r="I725" s="8"/>
      <c r="J725" s="9"/>
      <c r="K725" s="2"/>
      <c r="L725" s="2" t="s">
        <v>17</v>
      </c>
    </row>
    <row r="726" spans="1:12">
      <c r="A726" s="14" t="s">
        <v>4188</v>
      </c>
      <c r="B726" s="2" t="s">
        <v>4189</v>
      </c>
      <c r="C726" s="14" t="s">
        <v>14</v>
      </c>
      <c r="D726" s="2" t="s">
        <v>15</v>
      </c>
      <c r="E726" s="2" t="s">
        <v>4100</v>
      </c>
      <c r="F726" s="9">
        <v>46157</v>
      </c>
      <c r="G726" s="9">
        <v>46122</v>
      </c>
      <c r="H726" s="8">
        <v>129.99</v>
      </c>
      <c r="I726" s="8">
        <v>26.56</v>
      </c>
      <c r="J726" s="9">
        <v>46160</v>
      </c>
      <c r="K726" s="2" t="s">
        <v>4190</v>
      </c>
      <c r="L726" s="2" t="s">
        <v>17</v>
      </c>
    </row>
    <row r="727" spans="1:12">
      <c r="A727" s="14" t="s">
        <v>3670</v>
      </c>
      <c r="B727" s="2" t="s">
        <v>3671</v>
      </c>
      <c r="C727" s="14" t="s">
        <v>14</v>
      </c>
      <c r="D727" s="2" t="s">
        <v>15</v>
      </c>
      <c r="E727" s="2" t="s">
        <v>55</v>
      </c>
      <c r="F727" s="9">
        <v>46154</v>
      </c>
      <c r="G727" s="9">
        <v>46122</v>
      </c>
      <c r="H727" s="8">
        <v>99.99</v>
      </c>
      <c r="I727" s="8">
        <v>40</v>
      </c>
      <c r="J727" s="9">
        <v>46158</v>
      </c>
      <c r="K727" s="2" t="s">
        <v>4191</v>
      </c>
      <c r="L727" s="2" t="s">
        <v>17</v>
      </c>
    </row>
    <row r="728" spans="1:12">
      <c r="A728" s="14" t="s">
        <v>3646</v>
      </c>
      <c r="B728" s="2" t="s">
        <v>3647</v>
      </c>
      <c r="C728" s="14" t="s">
        <v>14</v>
      </c>
      <c r="D728" s="2" t="s">
        <v>15</v>
      </c>
      <c r="E728" s="2" t="s">
        <v>4100</v>
      </c>
      <c r="F728" s="9">
        <v>46153</v>
      </c>
      <c r="G728" s="9">
        <v>46122</v>
      </c>
      <c r="H728" s="8">
        <v>110.29</v>
      </c>
      <c r="I728" s="8">
        <v>40.159999999999997</v>
      </c>
      <c r="J728" s="9">
        <v>46154</v>
      </c>
      <c r="K728" s="2" t="s">
        <v>4192</v>
      </c>
      <c r="L728" s="2" t="s">
        <v>17</v>
      </c>
    </row>
    <row r="729" spans="1:12">
      <c r="A729" s="14" t="s">
        <v>4193</v>
      </c>
      <c r="B729" s="2" t="s">
        <v>4194</v>
      </c>
      <c r="C729" s="14" t="s">
        <v>14</v>
      </c>
      <c r="D729" s="2" t="s">
        <v>15</v>
      </c>
      <c r="E729" s="2" t="s">
        <v>2574</v>
      </c>
      <c r="F729" s="9">
        <v>46153</v>
      </c>
      <c r="G729" s="9">
        <v>46122</v>
      </c>
      <c r="H729" s="8">
        <v>102.14</v>
      </c>
      <c r="I729" s="8">
        <v>20.52</v>
      </c>
      <c r="J729" s="9">
        <v>46156</v>
      </c>
      <c r="K729" s="2" t="s">
        <v>4195</v>
      </c>
      <c r="L729" s="2" t="s">
        <v>17</v>
      </c>
    </row>
    <row r="730" spans="1:12">
      <c r="A730" s="14" t="s">
        <v>4196</v>
      </c>
      <c r="B730" s="2" t="s">
        <v>4197</v>
      </c>
      <c r="C730" s="14" t="s">
        <v>14</v>
      </c>
      <c r="D730" s="2" t="s">
        <v>15</v>
      </c>
      <c r="E730" s="2" t="s">
        <v>23</v>
      </c>
      <c r="F730" s="9">
        <v>46157</v>
      </c>
      <c r="G730" s="9">
        <v>46122</v>
      </c>
      <c r="H730" s="8">
        <v>109.99</v>
      </c>
      <c r="I730" s="8">
        <v>30</v>
      </c>
      <c r="J730" s="9">
        <v>46161</v>
      </c>
      <c r="K730" s="2" t="s">
        <v>4198</v>
      </c>
      <c r="L730" s="2" t="s">
        <v>17</v>
      </c>
    </row>
    <row r="731" spans="1:12">
      <c r="A731" s="14" t="s">
        <v>1559</v>
      </c>
      <c r="B731" s="2" t="s">
        <v>1560</v>
      </c>
      <c r="C731" s="14" t="s">
        <v>14</v>
      </c>
      <c r="D731" s="2" t="s">
        <v>15</v>
      </c>
      <c r="E731" s="2" t="s">
        <v>58</v>
      </c>
      <c r="F731" s="9">
        <v>46153</v>
      </c>
      <c r="G731" s="9">
        <v>46122</v>
      </c>
      <c r="H731" s="8">
        <v>82.53</v>
      </c>
      <c r="I731" s="8">
        <v>19.5</v>
      </c>
      <c r="J731" s="9">
        <v>46158</v>
      </c>
      <c r="K731" s="2" t="s">
        <v>4199</v>
      </c>
      <c r="L731" s="2" t="s">
        <v>17</v>
      </c>
    </row>
    <row r="732" spans="1:12">
      <c r="A732" s="14" t="s">
        <v>138</v>
      </c>
      <c r="B732" s="2" t="s">
        <v>139</v>
      </c>
      <c r="C732" s="14" t="s">
        <v>14</v>
      </c>
      <c r="D732" s="2" t="s">
        <v>15</v>
      </c>
      <c r="E732" s="2" t="s">
        <v>55</v>
      </c>
      <c r="F732" s="9">
        <v>46155</v>
      </c>
      <c r="G732" s="9">
        <v>46122</v>
      </c>
      <c r="H732" s="8">
        <v>86.46</v>
      </c>
      <c r="I732" s="8">
        <v>30</v>
      </c>
      <c r="J732" s="9">
        <v>46159</v>
      </c>
      <c r="K732" s="2" t="s">
        <v>4200</v>
      </c>
      <c r="L732" s="2" t="s">
        <v>17</v>
      </c>
    </row>
    <row r="733" spans="1:12">
      <c r="A733" s="14" t="s">
        <v>2717</v>
      </c>
      <c r="B733" s="2" t="s">
        <v>2718</v>
      </c>
      <c r="C733" s="14" t="s">
        <v>14</v>
      </c>
      <c r="D733" s="2" t="s">
        <v>15</v>
      </c>
      <c r="E733" s="2" t="s">
        <v>20</v>
      </c>
      <c r="F733" s="9">
        <v>46170</v>
      </c>
      <c r="G733" s="9">
        <v>46122</v>
      </c>
      <c r="H733" s="8">
        <v>110.7</v>
      </c>
      <c r="I733" s="8">
        <v>44.09</v>
      </c>
      <c r="J733" s="9">
        <v>46173</v>
      </c>
      <c r="K733" s="2" t="s">
        <v>4201</v>
      </c>
      <c r="L733" s="2" t="s">
        <v>17</v>
      </c>
    </row>
    <row r="734" spans="1:12">
      <c r="A734" s="14" t="s">
        <v>4202</v>
      </c>
      <c r="B734" s="2" t="s">
        <v>4203</v>
      </c>
      <c r="C734" s="14" t="s">
        <v>14</v>
      </c>
      <c r="D734" s="2" t="s">
        <v>15</v>
      </c>
      <c r="E734" s="2" t="s">
        <v>80</v>
      </c>
      <c r="F734" s="9">
        <v>46156</v>
      </c>
      <c r="G734" s="9">
        <v>46122</v>
      </c>
      <c r="H734" s="8">
        <v>109.99</v>
      </c>
      <c r="I734" s="8">
        <v>45.15</v>
      </c>
      <c r="J734" s="9">
        <v>46158</v>
      </c>
      <c r="K734" s="2" t="s">
        <v>4204</v>
      </c>
      <c r="L734" s="2" t="s">
        <v>17</v>
      </c>
    </row>
    <row r="735" spans="1:12">
      <c r="A735" s="14" t="s">
        <v>4205</v>
      </c>
      <c r="B735" s="2" t="s">
        <v>4206</v>
      </c>
      <c r="C735" s="14" t="s">
        <v>14</v>
      </c>
      <c r="D735" s="2" t="s">
        <v>15</v>
      </c>
      <c r="E735" s="2" t="s">
        <v>2574</v>
      </c>
      <c r="F735" s="9">
        <v>46156</v>
      </c>
      <c r="G735" s="9">
        <v>46122</v>
      </c>
      <c r="H735" s="8">
        <v>64.48</v>
      </c>
      <c r="I735" s="8">
        <v>15</v>
      </c>
      <c r="J735" s="9">
        <v>46161</v>
      </c>
      <c r="K735" s="2" t="s">
        <v>4207</v>
      </c>
      <c r="L735" s="2" t="s">
        <v>17</v>
      </c>
    </row>
    <row r="736" spans="1:12">
      <c r="A736" s="14" t="e">
        <v>#N/A</v>
      </c>
      <c r="B736" s="2" t="s">
        <v>4208</v>
      </c>
      <c r="C736" s="14" t="s">
        <v>14</v>
      </c>
      <c r="D736" s="2" t="s">
        <v>15</v>
      </c>
      <c r="E736" s="2" t="s">
        <v>16</v>
      </c>
      <c r="F736" s="9">
        <v>46146</v>
      </c>
      <c r="G736" s="9">
        <v>46122</v>
      </c>
      <c r="H736" s="8">
        <v>3.96</v>
      </c>
      <c r="I736" s="8"/>
      <c r="J736" s="9"/>
      <c r="K736" s="2"/>
      <c r="L736" s="2" t="s">
        <v>17</v>
      </c>
    </row>
    <row r="737" spans="1:12">
      <c r="A737" s="14" t="s">
        <v>3656</v>
      </c>
      <c r="B737" s="2" t="s">
        <v>3657</v>
      </c>
      <c r="C737" s="14" t="s">
        <v>14</v>
      </c>
      <c r="D737" s="2" t="s">
        <v>15</v>
      </c>
      <c r="E737" s="2" t="s">
        <v>2851</v>
      </c>
      <c r="F737" s="9">
        <v>46153</v>
      </c>
      <c r="G737" s="9">
        <v>46122</v>
      </c>
      <c r="H737" s="8">
        <v>102.33</v>
      </c>
      <c r="I737" s="8">
        <v>30</v>
      </c>
      <c r="J737" s="9">
        <v>46156</v>
      </c>
      <c r="K737" s="2" t="s">
        <v>4209</v>
      </c>
      <c r="L737" s="2" t="s">
        <v>17</v>
      </c>
    </row>
    <row r="738" spans="1:12">
      <c r="A738" s="14" t="s">
        <v>4210</v>
      </c>
      <c r="B738" s="2" t="s">
        <v>4211</v>
      </c>
      <c r="C738" s="14" t="s">
        <v>14</v>
      </c>
      <c r="D738" s="2" t="s">
        <v>15</v>
      </c>
      <c r="E738" s="2" t="s">
        <v>2851</v>
      </c>
      <c r="F738" s="9">
        <v>46155</v>
      </c>
      <c r="G738" s="9">
        <v>46122</v>
      </c>
      <c r="H738" s="8">
        <v>102.95</v>
      </c>
      <c r="I738" s="8">
        <v>19.96</v>
      </c>
      <c r="J738" s="9">
        <v>46158</v>
      </c>
      <c r="K738" s="2" t="s">
        <v>4212</v>
      </c>
      <c r="L738" s="2" t="s">
        <v>17</v>
      </c>
    </row>
    <row r="739" spans="1:12">
      <c r="A739" s="14" t="s">
        <v>2740</v>
      </c>
      <c r="B739" s="2" t="s">
        <v>2741</v>
      </c>
      <c r="C739" s="14" t="s">
        <v>14</v>
      </c>
      <c r="D739" s="2" t="s">
        <v>15</v>
      </c>
      <c r="E739" s="2" t="s">
        <v>55</v>
      </c>
      <c r="F739" s="9">
        <v>46154</v>
      </c>
      <c r="G739" s="9">
        <v>46122</v>
      </c>
      <c r="H739" s="8">
        <v>100.31</v>
      </c>
      <c r="I739" s="8">
        <v>41.35</v>
      </c>
      <c r="J739" s="9">
        <v>46159</v>
      </c>
      <c r="K739" s="2" t="s">
        <v>4213</v>
      </c>
      <c r="L739" s="2" t="s">
        <v>17</v>
      </c>
    </row>
    <row r="740" spans="1:12">
      <c r="A740" s="14" t="s">
        <v>4214</v>
      </c>
      <c r="B740" s="2" t="s">
        <v>4215</v>
      </c>
      <c r="C740" s="14" t="s">
        <v>14</v>
      </c>
      <c r="D740" s="2" t="s">
        <v>15</v>
      </c>
      <c r="E740" s="2" t="s">
        <v>4216</v>
      </c>
      <c r="F740" s="9">
        <v>46163</v>
      </c>
      <c r="G740" s="9">
        <v>46122</v>
      </c>
      <c r="H740" s="8">
        <v>55.23</v>
      </c>
      <c r="I740" s="8">
        <v>25</v>
      </c>
      <c r="J740" s="9">
        <v>46167</v>
      </c>
      <c r="K740" s="2" t="s">
        <v>4217</v>
      </c>
      <c r="L740" s="2" t="s">
        <v>17</v>
      </c>
    </row>
    <row r="741" spans="1:12">
      <c r="A741" s="14" t="s">
        <v>4218</v>
      </c>
      <c r="B741" s="2" t="s">
        <v>4219</v>
      </c>
      <c r="C741" s="14" t="s">
        <v>14</v>
      </c>
      <c r="D741" s="2" t="s">
        <v>15</v>
      </c>
      <c r="E741" s="2" t="s">
        <v>16</v>
      </c>
      <c r="F741" s="9">
        <v>46146</v>
      </c>
      <c r="G741" s="9">
        <v>46122</v>
      </c>
      <c r="H741" s="8">
        <v>3.96</v>
      </c>
      <c r="I741" s="8"/>
      <c r="J741" s="9"/>
      <c r="K741" s="2"/>
      <c r="L741" s="2" t="s">
        <v>17</v>
      </c>
    </row>
    <row r="742" spans="1:12">
      <c r="A742" s="14" t="s">
        <v>4220</v>
      </c>
      <c r="B742" s="2" t="s">
        <v>4221</v>
      </c>
      <c r="C742" s="14" t="s">
        <v>14</v>
      </c>
      <c r="D742" s="2" t="s">
        <v>15</v>
      </c>
      <c r="E742" s="2" t="s">
        <v>4100</v>
      </c>
      <c r="F742" s="9">
        <v>46155</v>
      </c>
      <c r="G742" s="9">
        <v>46122</v>
      </c>
      <c r="H742" s="8">
        <v>99.99</v>
      </c>
      <c r="I742" s="8">
        <v>40.61</v>
      </c>
      <c r="J742" s="9">
        <v>46160</v>
      </c>
      <c r="K742" s="2" t="s">
        <v>4222</v>
      </c>
      <c r="L742" s="2" t="s">
        <v>17</v>
      </c>
    </row>
    <row r="743" spans="1:12">
      <c r="A743" s="14" t="s">
        <v>4223</v>
      </c>
      <c r="B743" s="2" t="s">
        <v>4224</v>
      </c>
      <c r="C743" s="14" t="s">
        <v>14</v>
      </c>
      <c r="D743" s="2" t="s">
        <v>15</v>
      </c>
      <c r="E743" s="2" t="s">
        <v>16</v>
      </c>
      <c r="F743" s="9">
        <v>46146</v>
      </c>
      <c r="G743" s="9">
        <v>46122</v>
      </c>
      <c r="H743" s="8">
        <v>4.67</v>
      </c>
      <c r="I743" s="8"/>
      <c r="J743" s="9"/>
      <c r="K743" s="2"/>
      <c r="L743" s="2" t="s">
        <v>17</v>
      </c>
    </row>
    <row r="744" spans="1:12">
      <c r="A744" s="14" t="s">
        <v>1743</v>
      </c>
      <c r="B744" s="2" t="s">
        <v>1744</v>
      </c>
      <c r="C744" s="14" t="s">
        <v>14</v>
      </c>
      <c r="D744" s="2" t="s">
        <v>15</v>
      </c>
      <c r="E744" s="2" t="s">
        <v>55</v>
      </c>
      <c r="F744" s="9">
        <v>46155</v>
      </c>
      <c r="G744" s="9">
        <v>46122</v>
      </c>
      <c r="H744" s="8">
        <v>159.99</v>
      </c>
      <c r="I744" s="8">
        <v>40.840000000000003</v>
      </c>
      <c r="J744" s="9">
        <v>46160</v>
      </c>
      <c r="K744" s="2" t="s">
        <v>4225</v>
      </c>
      <c r="L744" s="2" t="s">
        <v>17</v>
      </c>
    </row>
    <row r="745" spans="1:12">
      <c r="A745" s="14" t="s">
        <v>2758</v>
      </c>
      <c r="B745" s="2" t="s">
        <v>2759</v>
      </c>
      <c r="C745" s="14" t="s">
        <v>14</v>
      </c>
      <c r="D745" s="2" t="s">
        <v>15</v>
      </c>
      <c r="E745" s="2" t="s">
        <v>80</v>
      </c>
      <c r="F745" s="9">
        <v>46170</v>
      </c>
      <c r="G745" s="9">
        <v>46122</v>
      </c>
      <c r="H745" s="8">
        <v>62.89</v>
      </c>
      <c r="I745" s="8">
        <v>33.630000000000003</v>
      </c>
      <c r="J745" s="9">
        <v>46167</v>
      </c>
      <c r="K745" s="2" t="s">
        <v>4226</v>
      </c>
      <c r="L745" s="2" t="s">
        <v>17</v>
      </c>
    </row>
    <row r="746" spans="1:12">
      <c r="A746" s="14" t="s">
        <v>4227</v>
      </c>
      <c r="B746" s="2" t="s">
        <v>4228</v>
      </c>
      <c r="C746" s="14" t="s">
        <v>14</v>
      </c>
      <c r="D746" s="2" t="s">
        <v>15</v>
      </c>
      <c r="E746" s="2" t="s">
        <v>4229</v>
      </c>
      <c r="F746" s="9">
        <v>46162</v>
      </c>
      <c r="G746" s="9">
        <v>46122</v>
      </c>
      <c r="H746" s="8">
        <v>100.87</v>
      </c>
      <c r="I746" s="8">
        <v>21.01</v>
      </c>
      <c r="J746" s="9">
        <v>46167</v>
      </c>
      <c r="K746" s="2" t="s">
        <v>4230</v>
      </c>
      <c r="L746" s="2" t="s">
        <v>17</v>
      </c>
    </row>
    <row r="747" spans="1:12">
      <c r="A747" s="14" t="s">
        <v>2705</v>
      </c>
      <c r="B747" s="2" t="s">
        <v>2706</v>
      </c>
      <c r="C747" s="14" t="s">
        <v>14</v>
      </c>
      <c r="D747" s="2" t="s">
        <v>15</v>
      </c>
      <c r="E747" s="2" t="s">
        <v>4231</v>
      </c>
      <c r="F747" s="9">
        <v>46163</v>
      </c>
      <c r="G747" s="9">
        <v>46122</v>
      </c>
      <c r="H747" s="8">
        <v>99.91</v>
      </c>
      <c r="I747" s="8">
        <v>35.590000000000003</v>
      </c>
      <c r="J747" s="9">
        <v>46167</v>
      </c>
      <c r="K747" s="2" t="s">
        <v>4232</v>
      </c>
      <c r="L747" s="2" t="s">
        <v>17</v>
      </c>
    </row>
    <row r="748" spans="1:12">
      <c r="A748" s="14" t="s">
        <v>4233</v>
      </c>
      <c r="B748" s="2" t="s">
        <v>4234</v>
      </c>
      <c r="C748" s="14" t="s">
        <v>14</v>
      </c>
      <c r="D748" s="2" t="s">
        <v>15</v>
      </c>
      <c r="E748" s="2" t="s">
        <v>2574</v>
      </c>
      <c r="F748" s="9">
        <v>46163</v>
      </c>
      <c r="G748" s="9">
        <v>46122</v>
      </c>
      <c r="H748" s="8">
        <v>101.71</v>
      </c>
      <c r="I748" s="8"/>
      <c r="J748" s="9">
        <v>46164</v>
      </c>
      <c r="K748" s="2"/>
      <c r="L748" s="2" t="s">
        <v>17</v>
      </c>
    </row>
    <row r="749" spans="1:12">
      <c r="A749" s="14" t="e">
        <v>#N/A</v>
      </c>
      <c r="B749" s="2" t="s">
        <v>195</v>
      </c>
      <c r="C749" s="14" t="s">
        <v>14</v>
      </c>
      <c r="D749" s="2" t="s">
        <v>15</v>
      </c>
      <c r="E749" s="2" t="s">
        <v>16</v>
      </c>
      <c r="F749" s="9">
        <v>46146</v>
      </c>
      <c r="G749" s="9">
        <v>46122</v>
      </c>
      <c r="H749" s="8">
        <v>35.380000000000003</v>
      </c>
      <c r="I749" s="8"/>
      <c r="J749" s="9"/>
      <c r="K749" s="2"/>
      <c r="L749" s="2" t="s">
        <v>17</v>
      </c>
    </row>
    <row r="750" spans="1:12">
      <c r="A750" s="14" t="s">
        <v>1608</v>
      </c>
      <c r="B750" s="2" t="s">
        <v>1609</v>
      </c>
      <c r="C750" s="14" t="s">
        <v>14</v>
      </c>
      <c r="D750" s="2" t="s">
        <v>15</v>
      </c>
      <c r="E750" s="2" t="s">
        <v>4229</v>
      </c>
      <c r="F750" s="9">
        <v>46163</v>
      </c>
      <c r="G750" s="9">
        <v>46122</v>
      </c>
      <c r="H750" s="8">
        <v>109.99</v>
      </c>
      <c r="I750" s="8">
        <v>45.24</v>
      </c>
      <c r="J750" s="9">
        <v>46167</v>
      </c>
      <c r="K750" s="2" t="s">
        <v>4235</v>
      </c>
      <c r="L750" s="2" t="s">
        <v>17</v>
      </c>
    </row>
    <row r="751" spans="1:12">
      <c r="A751" s="14" t="s">
        <v>3707</v>
      </c>
      <c r="B751" s="2" t="s">
        <v>3708</v>
      </c>
      <c r="C751" s="14" t="s">
        <v>14</v>
      </c>
      <c r="D751" s="2" t="s">
        <v>15</v>
      </c>
      <c r="E751" s="2" t="s">
        <v>4100</v>
      </c>
      <c r="F751" s="9">
        <v>46163</v>
      </c>
      <c r="G751" s="9">
        <v>46122</v>
      </c>
      <c r="H751" s="8">
        <v>99.99</v>
      </c>
      <c r="I751" s="8">
        <v>37.57</v>
      </c>
      <c r="J751" s="9">
        <v>46167</v>
      </c>
      <c r="K751" s="2" t="s">
        <v>4236</v>
      </c>
      <c r="L751" s="2" t="s">
        <v>17</v>
      </c>
    </row>
    <row r="752" spans="1:12">
      <c r="A752" s="14" t="s">
        <v>2783</v>
      </c>
      <c r="B752" s="2" t="s">
        <v>2784</v>
      </c>
      <c r="C752" s="14" t="s">
        <v>14</v>
      </c>
      <c r="D752" s="2" t="s">
        <v>15</v>
      </c>
      <c r="E752" s="2" t="s">
        <v>16</v>
      </c>
      <c r="F752" s="9">
        <v>46169</v>
      </c>
      <c r="G752" s="9">
        <v>46122</v>
      </c>
      <c r="H752" s="8">
        <v>10</v>
      </c>
      <c r="I752" s="8"/>
      <c r="J752" s="9">
        <v>46173</v>
      </c>
      <c r="K752" s="2"/>
      <c r="L752" s="2" t="s">
        <v>17</v>
      </c>
    </row>
    <row r="753" spans="1:12">
      <c r="A753" s="14" t="s">
        <v>4237</v>
      </c>
      <c r="B753" s="2" t="s">
        <v>4238</v>
      </c>
      <c r="C753" s="14" t="s">
        <v>14</v>
      </c>
      <c r="D753" s="2" t="s">
        <v>15</v>
      </c>
      <c r="E753" s="2" t="s">
        <v>16</v>
      </c>
      <c r="F753" s="9">
        <v>46146</v>
      </c>
      <c r="G753" s="9">
        <v>46122</v>
      </c>
      <c r="H753" s="8">
        <v>3.96</v>
      </c>
      <c r="I753" s="8"/>
      <c r="J753" s="9"/>
      <c r="K753" s="2"/>
      <c r="L753" s="2" t="s">
        <v>17</v>
      </c>
    </row>
    <row r="754" spans="1:12">
      <c r="A754" s="14" t="s">
        <v>1614</v>
      </c>
      <c r="B754" s="2" t="s">
        <v>1615</v>
      </c>
      <c r="C754" s="14" t="s">
        <v>14</v>
      </c>
      <c r="D754" s="2" t="s">
        <v>15</v>
      </c>
      <c r="E754" s="2" t="s">
        <v>55</v>
      </c>
      <c r="F754" s="9">
        <v>46169</v>
      </c>
      <c r="G754" s="9">
        <v>46122</v>
      </c>
      <c r="H754" s="8">
        <v>109.99</v>
      </c>
      <c r="I754" s="8">
        <v>45.57</v>
      </c>
      <c r="J754" s="9">
        <v>46170</v>
      </c>
      <c r="K754" s="2" t="s">
        <v>4239</v>
      </c>
      <c r="L754" s="2" t="s">
        <v>17</v>
      </c>
    </row>
    <row r="755" spans="1:12">
      <c r="A755" s="14" t="s">
        <v>4240</v>
      </c>
      <c r="B755" s="2" t="s">
        <v>4241</v>
      </c>
      <c r="C755" s="14" t="s">
        <v>14</v>
      </c>
      <c r="D755" s="2" t="s">
        <v>15</v>
      </c>
      <c r="E755" s="2" t="s">
        <v>16</v>
      </c>
      <c r="F755" s="9">
        <v>46146</v>
      </c>
      <c r="G755" s="9">
        <v>46122</v>
      </c>
      <c r="H755" s="8">
        <v>7.89</v>
      </c>
      <c r="I755" s="8"/>
      <c r="J755" s="9"/>
      <c r="K755" s="2"/>
      <c r="L755" s="2" t="s">
        <v>17</v>
      </c>
    </row>
    <row r="756" spans="1:12">
      <c r="A756" s="14" t="s">
        <v>227</v>
      </c>
      <c r="B756" s="29" t="str">
        <f>"1.352782761"</f>
        <v>1.352782761</v>
      </c>
      <c r="C756" s="14" t="s">
        <v>14</v>
      </c>
      <c r="D756" s="2" t="s">
        <v>15</v>
      </c>
      <c r="E756" s="2" t="s">
        <v>4216</v>
      </c>
      <c r="F756" s="9">
        <v>46163</v>
      </c>
      <c r="G756" s="9">
        <v>46122</v>
      </c>
      <c r="H756" s="8">
        <v>99.99</v>
      </c>
      <c r="I756" s="8">
        <v>25</v>
      </c>
      <c r="J756" s="9">
        <v>46167</v>
      </c>
      <c r="K756" s="2" t="s">
        <v>4242</v>
      </c>
      <c r="L756" s="2" t="s">
        <v>17</v>
      </c>
    </row>
    <row r="757" spans="1:12">
      <c r="A757" s="14" t="s">
        <v>219</v>
      </c>
      <c r="B757" s="2" t="s">
        <v>220</v>
      </c>
      <c r="C757" s="14" t="s">
        <v>14</v>
      </c>
      <c r="D757" s="2" t="s">
        <v>15</v>
      </c>
      <c r="E757" s="2" t="s">
        <v>16</v>
      </c>
      <c r="F757" s="9">
        <v>46146</v>
      </c>
      <c r="G757" s="9">
        <v>46122</v>
      </c>
      <c r="H757" s="8">
        <v>7.19</v>
      </c>
      <c r="I757" s="8"/>
      <c r="J757" s="9"/>
      <c r="K757" s="2"/>
      <c r="L757" s="2" t="s">
        <v>17</v>
      </c>
    </row>
    <row r="758" spans="1:12">
      <c r="A758" s="14" t="s">
        <v>4243</v>
      </c>
      <c r="B758" s="2" t="s">
        <v>4244</v>
      </c>
      <c r="C758" s="14" t="s">
        <v>14</v>
      </c>
      <c r="D758" s="2" t="s">
        <v>15</v>
      </c>
      <c r="E758" s="2" t="s">
        <v>16</v>
      </c>
      <c r="F758" s="9">
        <v>46146</v>
      </c>
      <c r="G758" s="9">
        <v>46122</v>
      </c>
      <c r="H758" s="8">
        <v>0.96</v>
      </c>
      <c r="I758" s="8"/>
      <c r="J758" s="9"/>
      <c r="K758" s="2"/>
      <c r="L758" s="2" t="s">
        <v>17</v>
      </c>
    </row>
    <row r="759" spans="1:12">
      <c r="A759" s="14" t="s">
        <v>3704</v>
      </c>
      <c r="B759" s="2" t="s">
        <v>3705</v>
      </c>
      <c r="C759" s="14" t="s">
        <v>14</v>
      </c>
      <c r="D759" s="2" t="s">
        <v>15</v>
      </c>
      <c r="E759" s="2" t="s">
        <v>55</v>
      </c>
      <c r="F759" s="9">
        <v>46163</v>
      </c>
      <c r="G759" s="9">
        <v>46122</v>
      </c>
      <c r="H759" s="8">
        <v>102.65</v>
      </c>
      <c r="I759" s="8">
        <v>40.31</v>
      </c>
      <c r="J759" s="9">
        <v>46168</v>
      </c>
      <c r="K759" s="2" t="s">
        <v>4245</v>
      </c>
      <c r="L759" s="2" t="s">
        <v>17</v>
      </c>
    </row>
    <row r="760" spans="1:12">
      <c r="A760" s="14" t="s">
        <v>4246</v>
      </c>
      <c r="B760" s="2" t="s">
        <v>4247</v>
      </c>
      <c r="C760" s="14" t="s">
        <v>14</v>
      </c>
      <c r="D760" s="2" t="s">
        <v>15</v>
      </c>
      <c r="E760" s="2" t="s">
        <v>4216</v>
      </c>
      <c r="F760" s="9">
        <v>46163</v>
      </c>
      <c r="G760" s="9">
        <v>46122</v>
      </c>
      <c r="H760" s="8">
        <v>99.99</v>
      </c>
      <c r="I760" s="8">
        <v>23</v>
      </c>
      <c r="J760" s="9">
        <v>46165</v>
      </c>
      <c r="K760" s="2" t="s">
        <v>4248</v>
      </c>
      <c r="L760" s="2" t="s">
        <v>17</v>
      </c>
    </row>
    <row r="761" spans="1:12">
      <c r="A761" s="14" t="s">
        <v>2804</v>
      </c>
      <c r="B761" s="2" t="s">
        <v>2805</v>
      </c>
      <c r="C761" s="14" t="s">
        <v>14</v>
      </c>
      <c r="D761" s="2" t="s">
        <v>15</v>
      </c>
      <c r="E761" s="2" t="s">
        <v>55</v>
      </c>
      <c r="F761" s="9">
        <v>46170</v>
      </c>
      <c r="G761" s="9">
        <v>46122</v>
      </c>
      <c r="H761" s="8">
        <v>109.79</v>
      </c>
      <c r="I761" s="8">
        <v>48.06</v>
      </c>
      <c r="J761" s="9">
        <v>46167</v>
      </c>
      <c r="K761" s="2" t="s">
        <v>4249</v>
      </c>
      <c r="L761" s="2" t="s">
        <v>17</v>
      </c>
    </row>
    <row r="762" spans="1:12">
      <c r="A762" s="14" t="s">
        <v>2801</v>
      </c>
      <c r="B762" s="29" t="str">
        <f>"1.349841962"</f>
        <v>1.349841962</v>
      </c>
      <c r="C762" s="14" t="s">
        <v>14</v>
      </c>
      <c r="D762" s="2" t="s">
        <v>15</v>
      </c>
      <c r="E762" s="2" t="s">
        <v>55</v>
      </c>
      <c r="F762" s="9">
        <v>46163</v>
      </c>
      <c r="G762" s="9">
        <v>46122</v>
      </c>
      <c r="H762" s="8">
        <v>99.86</v>
      </c>
      <c r="I762" s="8">
        <v>42.55</v>
      </c>
      <c r="J762" s="9">
        <v>46167</v>
      </c>
      <c r="K762" s="2" t="s">
        <v>4250</v>
      </c>
      <c r="L762" s="2" t="s">
        <v>17</v>
      </c>
    </row>
    <row r="763" spans="1:12">
      <c r="A763" s="14" t="s">
        <v>4251</v>
      </c>
      <c r="B763" s="2" t="s">
        <v>4252</v>
      </c>
      <c r="C763" s="14" t="s">
        <v>14</v>
      </c>
      <c r="D763" s="2" t="s">
        <v>15</v>
      </c>
      <c r="E763" s="2" t="s">
        <v>16</v>
      </c>
      <c r="F763" s="9">
        <v>46146</v>
      </c>
      <c r="G763" s="9">
        <v>46122</v>
      </c>
      <c r="H763" s="8">
        <v>9.33</v>
      </c>
      <c r="I763" s="8"/>
      <c r="J763" s="9"/>
      <c r="K763" s="2"/>
      <c r="L763" s="2" t="s">
        <v>17</v>
      </c>
    </row>
    <row r="764" spans="1:12">
      <c r="A764" s="14" t="s">
        <v>373</v>
      </c>
      <c r="B764" s="2" t="s">
        <v>374</v>
      </c>
      <c r="C764" s="14" t="s">
        <v>14</v>
      </c>
      <c r="D764" s="2" t="s">
        <v>15</v>
      </c>
      <c r="E764" s="2" t="s">
        <v>16</v>
      </c>
      <c r="F764" s="9">
        <v>46146</v>
      </c>
      <c r="G764" s="9">
        <v>46122</v>
      </c>
      <c r="H764" s="8">
        <v>35.75</v>
      </c>
      <c r="I764" s="8"/>
      <c r="J764" s="9"/>
      <c r="K764" s="2"/>
      <c r="L764" s="2" t="s">
        <v>17</v>
      </c>
    </row>
    <row r="765" spans="1:12">
      <c r="A765" s="14" t="s">
        <v>1849</v>
      </c>
      <c r="B765" s="2" t="s">
        <v>1850</v>
      </c>
      <c r="C765" s="14" t="s">
        <v>14</v>
      </c>
      <c r="D765" s="2" t="s">
        <v>15</v>
      </c>
      <c r="E765" s="2" t="s">
        <v>55</v>
      </c>
      <c r="F765" s="9">
        <v>46167</v>
      </c>
      <c r="G765" s="9">
        <v>46122</v>
      </c>
      <c r="H765" s="8">
        <v>82.18</v>
      </c>
      <c r="I765" s="8">
        <v>36.47</v>
      </c>
      <c r="J765" s="9">
        <v>46170</v>
      </c>
      <c r="K765" s="2" t="s">
        <v>4253</v>
      </c>
      <c r="L765" s="2" t="s">
        <v>17</v>
      </c>
    </row>
    <row r="766" spans="1:12">
      <c r="A766" s="14" t="s">
        <v>4254</v>
      </c>
      <c r="B766" s="2" t="s">
        <v>4255</v>
      </c>
      <c r="C766" s="14" t="s">
        <v>14</v>
      </c>
      <c r="D766" s="2" t="s">
        <v>15</v>
      </c>
      <c r="E766" s="2" t="s">
        <v>16</v>
      </c>
      <c r="F766" s="9">
        <v>46146</v>
      </c>
      <c r="G766" s="9">
        <v>46122</v>
      </c>
      <c r="H766" s="8">
        <v>3.62</v>
      </c>
      <c r="I766" s="8"/>
      <c r="J766" s="9"/>
      <c r="K766" s="2"/>
      <c r="L766" s="2" t="s">
        <v>17</v>
      </c>
    </row>
    <row r="767" spans="1:12">
      <c r="A767" s="14" t="s">
        <v>4256</v>
      </c>
      <c r="B767" s="2" t="s">
        <v>4257</v>
      </c>
      <c r="C767" s="14" t="s">
        <v>14</v>
      </c>
      <c r="D767" s="2" t="s">
        <v>15</v>
      </c>
      <c r="E767" s="2" t="s">
        <v>16</v>
      </c>
      <c r="F767" s="9">
        <v>46146</v>
      </c>
      <c r="G767" s="9">
        <v>46122</v>
      </c>
      <c r="H767" s="8">
        <v>3.62</v>
      </c>
      <c r="I767" s="8"/>
      <c r="J767" s="9"/>
      <c r="K767" s="2"/>
      <c r="L767" s="2" t="s">
        <v>17</v>
      </c>
    </row>
    <row r="768" spans="1:12">
      <c r="A768" s="14" t="s">
        <v>4258</v>
      </c>
      <c r="B768" s="2" t="s">
        <v>4259</v>
      </c>
      <c r="C768" s="14" t="s">
        <v>14</v>
      </c>
      <c r="D768" s="2" t="s">
        <v>15</v>
      </c>
      <c r="E768" s="2" t="s">
        <v>20</v>
      </c>
      <c r="F768" s="9">
        <v>46171</v>
      </c>
      <c r="G768" s="9">
        <v>46122</v>
      </c>
      <c r="H768" s="8">
        <v>94.29</v>
      </c>
      <c r="I768" s="8">
        <v>32.06</v>
      </c>
      <c r="J768" s="9">
        <v>46173</v>
      </c>
      <c r="K768" s="2" t="s">
        <v>4260</v>
      </c>
      <c r="L768" s="2" t="s">
        <v>17</v>
      </c>
    </row>
    <row r="769" spans="1:12">
      <c r="A769" s="14" t="s">
        <v>4261</v>
      </c>
      <c r="B769" s="2" t="s">
        <v>4262</v>
      </c>
      <c r="C769" s="14" t="s">
        <v>14</v>
      </c>
      <c r="D769" s="2" t="s">
        <v>15</v>
      </c>
      <c r="E769" s="2" t="s">
        <v>4263</v>
      </c>
      <c r="F769" s="9">
        <v>46163</v>
      </c>
      <c r="G769" s="9">
        <v>46122</v>
      </c>
      <c r="H769" s="8">
        <v>99.99</v>
      </c>
      <c r="I769" s="8">
        <v>59.33</v>
      </c>
      <c r="J769" s="9">
        <v>46167</v>
      </c>
      <c r="K769" s="2" t="s">
        <v>4264</v>
      </c>
      <c r="L769" s="2" t="s">
        <v>17</v>
      </c>
    </row>
    <row r="770" spans="1:12">
      <c r="A770" s="14" t="s">
        <v>4265</v>
      </c>
      <c r="B770" s="2" t="s">
        <v>4266</v>
      </c>
      <c r="C770" s="14" t="s">
        <v>14</v>
      </c>
      <c r="D770" s="2" t="s">
        <v>15</v>
      </c>
      <c r="E770" s="2" t="s">
        <v>4267</v>
      </c>
      <c r="F770" s="9">
        <v>46163</v>
      </c>
      <c r="G770" s="9">
        <v>46122</v>
      </c>
      <c r="H770" s="8">
        <v>120.49</v>
      </c>
      <c r="I770" s="8">
        <v>30</v>
      </c>
      <c r="J770" s="9">
        <v>46167</v>
      </c>
      <c r="K770" s="2" t="s">
        <v>4268</v>
      </c>
      <c r="L770" s="2" t="s">
        <v>17</v>
      </c>
    </row>
    <row r="771" spans="1:12">
      <c r="A771" s="14" t="s">
        <v>286</v>
      </c>
      <c r="B771" s="2" t="s">
        <v>287</v>
      </c>
      <c r="C771" s="14" t="s">
        <v>14</v>
      </c>
      <c r="D771" s="2" t="s">
        <v>15</v>
      </c>
      <c r="E771" s="2" t="s">
        <v>4269</v>
      </c>
      <c r="F771" s="9">
        <v>46163</v>
      </c>
      <c r="G771" s="9">
        <v>46122</v>
      </c>
      <c r="H771" s="8">
        <v>119.99</v>
      </c>
      <c r="I771" s="8">
        <v>24.68</v>
      </c>
      <c r="J771" s="9">
        <v>46168</v>
      </c>
      <c r="K771" s="2" t="s">
        <v>4270</v>
      </c>
      <c r="L771" s="2" t="s">
        <v>17</v>
      </c>
    </row>
    <row r="772" spans="1:12">
      <c r="A772" s="14" t="s">
        <v>318</v>
      </c>
      <c r="B772" s="2" t="s">
        <v>319</v>
      </c>
      <c r="C772" s="14" t="s">
        <v>14</v>
      </c>
      <c r="D772" s="2" t="s">
        <v>15</v>
      </c>
      <c r="E772" s="2" t="s">
        <v>16</v>
      </c>
      <c r="F772" s="9">
        <v>46146</v>
      </c>
      <c r="G772" s="9">
        <v>46122</v>
      </c>
      <c r="H772" s="8">
        <v>19.649999999999999</v>
      </c>
      <c r="I772" s="8"/>
      <c r="J772" s="9"/>
      <c r="K772" s="2"/>
      <c r="L772" s="2" t="s">
        <v>17</v>
      </c>
    </row>
    <row r="773" spans="1:12">
      <c r="A773" s="14" t="s">
        <v>4271</v>
      </c>
      <c r="B773" s="2" t="s">
        <v>4272</v>
      </c>
      <c r="C773" s="14" t="s">
        <v>14</v>
      </c>
      <c r="D773" s="2" t="s">
        <v>15</v>
      </c>
      <c r="E773" s="2" t="s">
        <v>4267</v>
      </c>
      <c r="F773" s="9">
        <v>46163</v>
      </c>
      <c r="G773" s="9">
        <v>46122</v>
      </c>
      <c r="H773" s="8">
        <v>102.33</v>
      </c>
      <c r="I773" s="8">
        <v>21.15</v>
      </c>
      <c r="J773" s="9">
        <v>46167</v>
      </c>
      <c r="K773" s="2" t="s">
        <v>4273</v>
      </c>
      <c r="L773" s="2" t="s">
        <v>17</v>
      </c>
    </row>
    <row r="774" spans="1:12">
      <c r="A774" s="14" t="s">
        <v>1679</v>
      </c>
      <c r="B774" s="2" t="s">
        <v>1680</v>
      </c>
      <c r="C774" s="14" t="s">
        <v>14</v>
      </c>
      <c r="D774" s="2" t="s">
        <v>15</v>
      </c>
      <c r="E774" s="2" t="s">
        <v>55</v>
      </c>
      <c r="F774" s="9">
        <v>46167</v>
      </c>
      <c r="G774" s="9">
        <v>46122</v>
      </c>
      <c r="H774" s="8">
        <v>109.99</v>
      </c>
      <c r="I774" s="8">
        <v>45.04</v>
      </c>
      <c r="J774" s="9">
        <v>46172</v>
      </c>
      <c r="K774" s="2" t="s">
        <v>4274</v>
      </c>
      <c r="L774" s="2" t="s">
        <v>17</v>
      </c>
    </row>
    <row r="775" spans="1:12">
      <c r="A775" s="14" t="s">
        <v>2874</v>
      </c>
      <c r="B775" s="2" t="s">
        <v>2875</v>
      </c>
      <c r="C775" s="14" t="s">
        <v>14</v>
      </c>
      <c r="D775" s="2" t="s">
        <v>15</v>
      </c>
      <c r="E775" s="2" t="s">
        <v>187</v>
      </c>
      <c r="F775" s="9">
        <v>46170</v>
      </c>
      <c r="G775" s="9">
        <v>46122</v>
      </c>
      <c r="H775" s="8">
        <v>78.989999999999995</v>
      </c>
      <c r="I775" s="8">
        <v>51.54</v>
      </c>
      <c r="J775" s="9">
        <v>46174</v>
      </c>
      <c r="K775" s="2" t="s">
        <v>4275</v>
      </c>
      <c r="L775" s="2" t="s">
        <v>17</v>
      </c>
    </row>
    <row r="776" spans="1:12">
      <c r="A776" s="14" t="s">
        <v>3764</v>
      </c>
      <c r="B776" s="2" t="s">
        <v>3765</v>
      </c>
      <c r="C776" s="14" t="s">
        <v>14</v>
      </c>
      <c r="D776" s="2" t="s">
        <v>15</v>
      </c>
      <c r="E776" s="2" t="s">
        <v>2851</v>
      </c>
      <c r="F776" s="9">
        <v>46164</v>
      </c>
      <c r="G776" s="9">
        <v>46122</v>
      </c>
      <c r="H776" s="8">
        <v>99.99</v>
      </c>
      <c r="I776" s="8">
        <v>30</v>
      </c>
      <c r="J776" s="9">
        <v>46167</v>
      </c>
      <c r="K776" s="2"/>
      <c r="L776" s="2" t="s">
        <v>17</v>
      </c>
    </row>
    <row r="777" spans="1:12">
      <c r="A777" s="14" t="s">
        <v>328</v>
      </c>
      <c r="B777" s="2" t="s">
        <v>329</v>
      </c>
      <c r="C777" s="14" t="s">
        <v>14</v>
      </c>
      <c r="D777" s="2" t="s">
        <v>15</v>
      </c>
      <c r="E777" s="2" t="s">
        <v>80</v>
      </c>
      <c r="F777" s="9">
        <v>46167</v>
      </c>
      <c r="G777" s="9">
        <v>46122</v>
      </c>
      <c r="H777" s="8">
        <v>57.17</v>
      </c>
      <c r="I777" s="8">
        <v>80</v>
      </c>
      <c r="J777" s="9">
        <v>46170</v>
      </c>
      <c r="K777" s="2" t="s">
        <v>4276</v>
      </c>
      <c r="L777" s="2" t="s">
        <v>17</v>
      </c>
    </row>
    <row r="778" spans="1:12">
      <c r="A778" s="14" t="s">
        <v>4277</v>
      </c>
      <c r="B778" s="2" t="s">
        <v>4278</v>
      </c>
      <c r="C778" s="14" t="s">
        <v>14</v>
      </c>
      <c r="D778" s="2" t="s">
        <v>15</v>
      </c>
      <c r="E778" s="2" t="s">
        <v>55</v>
      </c>
      <c r="F778" s="9">
        <v>46167</v>
      </c>
      <c r="G778" s="9">
        <v>46122</v>
      </c>
      <c r="H778" s="8">
        <v>109.99</v>
      </c>
      <c r="I778" s="8">
        <v>44.1</v>
      </c>
      <c r="J778" s="9">
        <v>46170</v>
      </c>
      <c r="K778" s="2" t="s">
        <v>4279</v>
      </c>
      <c r="L778" s="2" t="s">
        <v>17</v>
      </c>
    </row>
    <row r="779" spans="1:12">
      <c r="A779" s="14" t="s">
        <v>4280</v>
      </c>
      <c r="B779" s="2" t="s">
        <v>4281</v>
      </c>
      <c r="C779" s="14" t="s">
        <v>14</v>
      </c>
      <c r="D779" s="2" t="s">
        <v>15</v>
      </c>
      <c r="E779" s="2" t="s">
        <v>2851</v>
      </c>
      <c r="F779" s="9">
        <v>46164</v>
      </c>
      <c r="G779" s="9">
        <v>46122</v>
      </c>
      <c r="H779" s="8">
        <v>99.99</v>
      </c>
      <c r="I779" s="8">
        <v>20.96</v>
      </c>
      <c r="J779" s="9">
        <v>46167</v>
      </c>
      <c r="K779" s="2" t="s">
        <v>4282</v>
      </c>
      <c r="L779" s="2" t="s">
        <v>17</v>
      </c>
    </row>
    <row r="780" spans="1:12">
      <c r="A780" s="14" t="s">
        <v>3761</v>
      </c>
      <c r="B780" s="2" t="s">
        <v>3762</v>
      </c>
      <c r="C780" s="14" t="s">
        <v>14</v>
      </c>
      <c r="D780" s="2" t="s">
        <v>15</v>
      </c>
      <c r="E780" s="2" t="s">
        <v>55</v>
      </c>
      <c r="F780" s="9">
        <v>46170</v>
      </c>
      <c r="G780" s="9">
        <v>46122</v>
      </c>
      <c r="H780" s="8">
        <v>125.05</v>
      </c>
      <c r="I780" s="8">
        <v>34.97</v>
      </c>
      <c r="J780" s="9">
        <v>46170</v>
      </c>
      <c r="K780" s="2" t="s">
        <v>4283</v>
      </c>
      <c r="L780" s="2" t="s">
        <v>17</v>
      </c>
    </row>
    <row r="781" spans="1:12">
      <c r="A781" s="14" t="s">
        <v>1682</v>
      </c>
      <c r="B781" s="2" t="s">
        <v>1683</v>
      </c>
      <c r="C781" s="14" t="s">
        <v>14</v>
      </c>
      <c r="D781" s="2" t="s">
        <v>15</v>
      </c>
      <c r="E781" s="2" t="s">
        <v>55</v>
      </c>
      <c r="F781" s="9">
        <v>46169</v>
      </c>
      <c r="G781" s="9">
        <v>46122</v>
      </c>
      <c r="H781" s="8">
        <v>106.09</v>
      </c>
      <c r="I781" s="8">
        <v>44.54</v>
      </c>
      <c r="J781" s="9">
        <v>46170</v>
      </c>
      <c r="K781" s="2" t="s">
        <v>4284</v>
      </c>
      <c r="L781" s="2" t="s">
        <v>17</v>
      </c>
    </row>
    <row r="782" spans="1:12">
      <c r="A782" s="14" t="s">
        <v>3752</v>
      </c>
      <c r="B782" s="2" t="s">
        <v>3753</v>
      </c>
      <c r="C782" s="14" t="s">
        <v>14</v>
      </c>
      <c r="D782" s="2" t="s">
        <v>15</v>
      </c>
      <c r="E782" s="2" t="s">
        <v>55</v>
      </c>
      <c r="F782" s="9">
        <v>46170</v>
      </c>
      <c r="G782" s="9">
        <v>46122</v>
      </c>
      <c r="H782" s="8">
        <v>109.99</v>
      </c>
      <c r="I782" s="8">
        <v>41.2</v>
      </c>
      <c r="J782" s="9">
        <v>46170</v>
      </c>
      <c r="K782" s="2" t="s">
        <v>4285</v>
      </c>
      <c r="L782" s="2" t="s">
        <v>17</v>
      </c>
    </row>
    <row r="783" spans="1:12">
      <c r="A783" s="14" t="s">
        <v>4286</v>
      </c>
      <c r="B783" s="2" t="s">
        <v>4287</v>
      </c>
      <c r="C783" s="14" t="s">
        <v>14</v>
      </c>
      <c r="D783" s="2" t="s">
        <v>15</v>
      </c>
      <c r="E783" s="2" t="s">
        <v>58</v>
      </c>
      <c r="F783" s="9">
        <v>46167</v>
      </c>
      <c r="G783" s="9">
        <v>46122</v>
      </c>
      <c r="H783" s="8">
        <v>109.99</v>
      </c>
      <c r="I783" s="8">
        <v>22.92</v>
      </c>
      <c r="J783" s="9">
        <v>46170</v>
      </c>
      <c r="K783" s="2" t="s">
        <v>4288</v>
      </c>
      <c r="L783" s="2" t="s">
        <v>17</v>
      </c>
    </row>
    <row r="784" spans="1:12">
      <c r="A784" s="14" t="s">
        <v>3781</v>
      </c>
      <c r="B784" s="2" t="s">
        <v>3782</v>
      </c>
      <c r="C784" s="14" t="s">
        <v>14</v>
      </c>
      <c r="D784" s="2" t="s">
        <v>15</v>
      </c>
      <c r="E784" s="2" t="s">
        <v>2851</v>
      </c>
      <c r="F784" s="9">
        <v>46156</v>
      </c>
      <c r="G784" s="9">
        <v>46122</v>
      </c>
      <c r="H784" s="8">
        <v>99.99</v>
      </c>
      <c r="I784" s="8">
        <v>20.62</v>
      </c>
      <c r="J784" s="9">
        <v>46160</v>
      </c>
      <c r="K784" s="2" t="s">
        <v>4289</v>
      </c>
      <c r="L784" s="2" t="s">
        <v>17</v>
      </c>
    </row>
    <row r="785" spans="1:12">
      <c r="A785" s="14" t="s">
        <v>1828</v>
      </c>
      <c r="B785" s="2" t="s">
        <v>1829</v>
      </c>
      <c r="C785" s="14" t="s">
        <v>14</v>
      </c>
      <c r="D785" s="2" t="s">
        <v>15</v>
      </c>
      <c r="E785" s="2" t="s">
        <v>2851</v>
      </c>
      <c r="F785" s="9">
        <v>46156</v>
      </c>
      <c r="G785" s="9">
        <v>46122</v>
      </c>
      <c r="H785" s="8">
        <v>60</v>
      </c>
      <c r="I785" s="8">
        <v>12.37</v>
      </c>
      <c r="J785" s="9">
        <v>46160</v>
      </c>
      <c r="K785" s="2" t="s">
        <v>4290</v>
      </c>
      <c r="L785" s="2" t="s">
        <v>17</v>
      </c>
    </row>
    <row r="786" spans="1:12">
      <c r="A786" s="14" t="s">
        <v>4291</v>
      </c>
      <c r="B786" s="2" t="s">
        <v>4292</v>
      </c>
      <c r="C786" s="14" t="s">
        <v>14</v>
      </c>
      <c r="D786" s="2" t="s">
        <v>15</v>
      </c>
      <c r="E786" s="2" t="s">
        <v>23</v>
      </c>
      <c r="F786" s="9">
        <v>46170</v>
      </c>
      <c r="G786" s="9">
        <v>46122</v>
      </c>
      <c r="H786" s="8">
        <v>119.99</v>
      </c>
      <c r="I786" s="8">
        <v>73.92</v>
      </c>
      <c r="J786" s="9">
        <v>46175</v>
      </c>
      <c r="K786" s="2" t="s">
        <v>4293</v>
      </c>
      <c r="L786" s="2" t="s">
        <v>17</v>
      </c>
    </row>
    <row r="787" spans="1:12">
      <c r="A787" s="14" t="s">
        <v>3771</v>
      </c>
      <c r="B787" s="2" t="s">
        <v>3772</v>
      </c>
      <c r="C787" s="14" t="s">
        <v>14</v>
      </c>
      <c r="D787" s="2" t="s">
        <v>15</v>
      </c>
      <c r="E787" s="2" t="s">
        <v>58</v>
      </c>
      <c r="F787" s="9">
        <v>46156</v>
      </c>
      <c r="G787" s="9">
        <v>46122</v>
      </c>
      <c r="H787" s="8">
        <v>90.14</v>
      </c>
      <c r="I787" s="8">
        <v>37.869999999999997</v>
      </c>
      <c r="J787" s="9">
        <v>46158</v>
      </c>
      <c r="K787" s="2" t="s">
        <v>4294</v>
      </c>
      <c r="L787" s="2" t="s">
        <v>17</v>
      </c>
    </row>
    <row r="788" spans="1:12">
      <c r="A788" s="14" t="s">
        <v>4295</v>
      </c>
      <c r="B788" s="2" t="s">
        <v>4296</v>
      </c>
      <c r="C788" s="14" t="s">
        <v>14</v>
      </c>
      <c r="D788" s="2" t="s">
        <v>15</v>
      </c>
      <c r="E788" s="2" t="s">
        <v>4100</v>
      </c>
      <c r="F788" s="9">
        <v>46156</v>
      </c>
      <c r="G788" s="9">
        <v>46122</v>
      </c>
      <c r="H788" s="8">
        <v>109.99</v>
      </c>
      <c r="I788" s="8">
        <v>22.47</v>
      </c>
      <c r="J788" s="9">
        <v>46160</v>
      </c>
      <c r="K788" s="2" t="s">
        <v>4297</v>
      </c>
      <c r="L788" s="2" t="s">
        <v>17</v>
      </c>
    </row>
    <row r="789" spans="1:12">
      <c r="A789" s="14" t="s">
        <v>2876</v>
      </c>
      <c r="B789" s="2" t="s">
        <v>2877</v>
      </c>
      <c r="C789" s="14" t="s">
        <v>14</v>
      </c>
      <c r="D789" s="2" t="s">
        <v>15</v>
      </c>
      <c r="E789" s="2" t="s">
        <v>55</v>
      </c>
      <c r="F789" s="9">
        <v>46155</v>
      </c>
      <c r="G789" s="9">
        <v>46122</v>
      </c>
      <c r="H789" s="8">
        <v>99.99</v>
      </c>
      <c r="I789" s="8">
        <v>24.34</v>
      </c>
      <c r="J789" s="9">
        <v>46160</v>
      </c>
      <c r="K789" s="2" t="s">
        <v>4298</v>
      </c>
      <c r="L789" s="2" t="s">
        <v>17</v>
      </c>
    </row>
    <row r="790" spans="1:12">
      <c r="A790" s="14" t="s">
        <v>273</v>
      </c>
      <c r="B790" s="2" t="s">
        <v>274</v>
      </c>
      <c r="C790" s="14" t="s">
        <v>14</v>
      </c>
      <c r="D790" s="2" t="s">
        <v>15</v>
      </c>
      <c r="E790" s="2" t="s">
        <v>2851</v>
      </c>
      <c r="F790" s="9">
        <v>46156</v>
      </c>
      <c r="G790" s="9">
        <v>46122</v>
      </c>
      <c r="H790" s="8">
        <v>99.99</v>
      </c>
      <c r="I790" s="8">
        <v>20.62</v>
      </c>
      <c r="J790" s="9">
        <v>46159</v>
      </c>
      <c r="K790" s="2" t="s">
        <v>4299</v>
      </c>
      <c r="L790" s="2" t="s">
        <v>17</v>
      </c>
    </row>
    <row r="791" spans="1:12">
      <c r="A791" s="14" t="s">
        <v>238</v>
      </c>
      <c r="B791" s="2" t="s">
        <v>239</v>
      </c>
      <c r="C791" s="14" t="s">
        <v>14</v>
      </c>
      <c r="D791" s="2" t="s">
        <v>15</v>
      </c>
      <c r="E791" s="2" t="s">
        <v>16</v>
      </c>
      <c r="F791" s="9">
        <v>46146</v>
      </c>
      <c r="G791" s="9">
        <v>46122</v>
      </c>
      <c r="H791" s="8">
        <v>19.670000000000002</v>
      </c>
      <c r="I791" s="8"/>
      <c r="J791" s="9"/>
      <c r="K791" s="2"/>
      <c r="L791" s="2" t="s">
        <v>17</v>
      </c>
    </row>
    <row r="792" spans="1:12">
      <c r="A792" s="14" t="s">
        <v>2882</v>
      </c>
      <c r="B792" s="2" t="s">
        <v>2883</v>
      </c>
      <c r="C792" s="14" t="s">
        <v>14</v>
      </c>
      <c r="D792" s="2" t="s">
        <v>15</v>
      </c>
      <c r="E792" s="2" t="s">
        <v>2851</v>
      </c>
      <c r="F792" s="9">
        <v>46167</v>
      </c>
      <c r="G792" s="9">
        <v>46122</v>
      </c>
      <c r="H792" s="8">
        <v>119.87</v>
      </c>
      <c r="I792" s="8">
        <v>19.43</v>
      </c>
      <c r="J792" s="9">
        <v>46172</v>
      </c>
      <c r="K792" s="2" t="s">
        <v>4300</v>
      </c>
      <c r="L792" s="2" t="s">
        <v>17</v>
      </c>
    </row>
    <row r="793" spans="1:12">
      <c r="A793" s="14" t="s">
        <v>4301</v>
      </c>
      <c r="B793" s="2" t="s">
        <v>4302</v>
      </c>
      <c r="C793" s="14" t="s">
        <v>14</v>
      </c>
      <c r="D793" s="2" t="s">
        <v>15</v>
      </c>
      <c r="E793" s="2" t="s">
        <v>58</v>
      </c>
      <c r="F793" s="9">
        <v>46157</v>
      </c>
      <c r="G793" s="9">
        <v>46122</v>
      </c>
      <c r="H793" s="8">
        <v>109.99</v>
      </c>
      <c r="I793" s="8">
        <v>22.94</v>
      </c>
      <c r="J793" s="9">
        <v>46162</v>
      </c>
      <c r="K793" s="2" t="s">
        <v>4303</v>
      </c>
      <c r="L793" s="2" t="s">
        <v>17</v>
      </c>
    </row>
    <row r="794" spans="1:12">
      <c r="A794" s="14" t="s">
        <v>289</v>
      </c>
      <c r="B794" s="2" t="s">
        <v>290</v>
      </c>
      <c r="C794" s="14" t="s">
        <v>14</v>
      </c>
      <c r="D794" s="2" t="s">
        <v>15</v>
      </c>
      <c r="E794" s="2" t="s">
        <v>2851</v>
      </c>
      <c r="F794" s="9">
        <v>46157</v>
      </c>
      <c r="G794" s="9">
        <v>46122</v>
      </c>
      <c r="H794" s="8">
        <v>101.01</v>
      </c>
      <c r="I794" s="8">
        <v>14.59</v>
      </c>
      <c r="J794" s="9">
        <v>46160</v>
      </c>
      <c r="K794" s="2" t="s">
        <v>4304</v>
      </c>
      <c r="L794" s="2" t="s">
        <v>17</v>
      </c>
    </row>
    <row r="795" spans="1:12">
      <c r="A795" s="14" t="s">
        <v>1674</v>
      </c>
      <c r="B795" s="2" t="s">
        <v>1675</v>
      </c>
      <c r="C795" s="14" t="s">
        <v>14</v>
      </c>
      <c r="D795" s="2" t="s">
        <v>15</v>
      </c>
      <c r="E795" s="2" t="s">
        <v>58</v>
      </c>
      <c r="F795" s="9">
        <v>46160</v>
      </c>
      <c r="G795" s="9">
        <v>46122</v>
      </c>
      <c r="H795" s="8">
        <v>109.99</v>
      </c>
      <c r="I795" s="8">
        <v>22.68</v>
      </c>
      <c r="J795" s="9">
        <v>46163</v>
      </c>
      <c r="K795" s="2" t="s">
        <v>4305</v>
      </c>
      <c r="L795" s="2" t="s">
        <v>17</v>
      </c>
    </row>
    <row r="796" spans="1:12">
      <c r="A796" s="14" t="s">
        <v>4306</v>
      </c>
      <c r="B796" s="2" t="s">
        <v>4307</v>
      </c>
      <c r="C796" s="14" t="s">
        <v>14</v>
      </c>
      <c r="D796" s="2" t="s">
        <v>15</v>
      </c>
      <c r="E796" s="2" t="s">
        <v>4100</v>
      </c>
      <c r="F796" s="9">
        <v>46157</v>
      </c>
      <c r="G796" s="9">
        <v>46122</v>
      </c>
      <c r="H796" s="8">
        <v>85.71</v>
      </c>
      <c r="I796" s="8">
        <v>31.65</v>
      </c>
      <c r="J796" s="9">
        <v>46160</v>
      </c>
      <c r="K796" s="2" t="s">
        <v>4308</v>
      </c>
      <c r="L796" s="2" t="s">
        <v>17</v>
      </c>
    </row>
    <row r="797" spans="1:12">
      <c r="A797" s="14" t="s">
        <v>4309</v>
      </c>
      <c r="B797" s="2" t="s">
        <v>4310</v>
      </c>
      <c r="C797" s="14" t="s">
        <v>14</v>
      </c>
      <c r="D797" s="2" t="s">
        <v>15</v>
      </c>
      <c r="E797" s="2" t="s">
        <v>58</v>
      </c>
      <c r="F797" s="9">
        <v>46163</v>
      </c>
      <c r="G797" s="9">
        <v>46122</v>
      </c>
      <c r="H797" s="8">
        <v>111.22</v>
      </c>
      <c r="I797" s="8">
        <v>46.12</v>
      </c>
      <c r="J797" s="9">
        <v>46164</v>
      </c>
      <c r="K797" s="2" t="s">
        <v>4311</v>
      </c>
      <c r="L797" s="2" t="s">
        <v>17</v>
      </c>
    </row>
    <row r="798" spans="1:12">
      <c r="A798" s="14" t="s">
        <v>4312</v>
      </c>
      <c r="B798" s="2" t="s">
        <v>4313</v>
      </c>
      <c r="C798" s="14" t="s">
        <v>14</v>
      </c>
      <c r="D798" s="2" t="s">
        <v>15</v>
      </c>
      <c r="E798" s="2" t="s">
        <v>2574</v>
      </c>
      <c r="F798" s="9">
        <v>46163</v>
      </c>
      <c r="G798" s="9">
        <v>46122</v>
      </c>
      <c r="H798" s="8">
        <v>100</v>
      </c>
      <c r="I798" s="8">
        <v>30</v>
      </c>
      <c r="J798" s="9">
        <v>46164</v>
      </c>
      <c r="K798" s="2" t="s">
        <v>4314</v>
      </c>
      <c r="L798" s="2" t="s">
        <v>17</v>
      </c>
    </row>
    <row r="799" spans="1:12">
      <c r="A799" s="14" t="s">
        <v>4315</v>
      </c>
      <c r="B799" s="2" t="s">
        <v>4316</v>
      </c>
      <c r="C799" s="14" t="s">
        <v>14</v>
      </c>
      <c r="D799" s="2" t="s">
        <v>15</v>
      </c>
      <c r="E799" s="2" t="s">
        <v>2574</v>
      </c>
      <c r="F799" s="9">
        <v>46160</v>
      </c>
      <c r="G799" s="9">
        <v>46122</v>
      </c>
      <c r="H799" s="8">
        <v>69.989999999999995</v>
      </c>
      <c r="I799" s="8">
        <v>30</v>
      </c>
      <c r="J799" s="9">
        <v>46164</v>
      </c>
      <c r="K799" s="2" t="s">
        <v>4317</v>
      </c>
      <c r="L799" s="2" t="s">
        <v>17</v>
      </c>
    </row>
    <row r="800" spans="1:12">
      <c r="A800" s="14" t="s">
        <v>362</v>
      </c>
      <c r="B800" s="2" t="s">
        <v>363</v>
      </c>
      <c r="C800" s="14" t="s">
        <v>14</v>
      </c>
      <c r="D800" s="2" t="s">
        <v>15</v>
      </c>
      <c r="E800" s="2" t="s">
        <v>4100</v>
      </c>
      <c r="F800" s="9">
        <v>46160</v>
      </c>
      <c r="G800" s="9">
        <v>46122</v>
      </c>
      <c r="H800" s="8">
        <v>109.99</v>
      </c>
      <c r="I800" s="8">
        <v>25</v>
      </c>
      <c r="J800" s="9">
        <v>46165</v>
      </c>
      <c r="K800" s="2" t="s">
        <v>4318</v>
      </c>
      <c r="L800" s="2" t="s">
        <v>17</v>
      </c>
    </row>
    <row r="801" spans="1:12">
      <c r="A801" s="14" t="s">
        <v>4319</v>
      </c>
      <c r="B801" s="2" t="s">
        <v>4320</v>
      </c>
      <c r="C801" s="14" t="s">
        <v>14</v>
      </c>
      <c r="D801" s="2" t="s">
        <v>15</v>
      </c>
      <c r="E801" s="2" t="s">
        <v>23</v>
      </c>
      <c r="F801" s="9">
        <v>46170</v>
      </c>
      <c r="G801" s="9">
        <v>46122</v>
      </c>
      <c r="H801" s="8">
        <v>110</v>
      </c>
      <c r="I801" s="8">
        <v>38.01</v>
      </c>
      <c r="J801" s="9">
        <v>46172</v>
      </c>
      <c r="K801" s="2" t="s">
        <v>4321</v>
      </c>
      <c r="L801" s="2" t="s">
        <v>17</v>
      </c>
    </row>
    <row r="802" spans="1:12">
      <c r="A802" s="14" t="s">
        <v>4322</v>
      </c>
      <c r="B802" s="2" t="s">
        <v>4323</v>
      </c>
      <c r="C802" s="14" t="s">
        <v>14</v>
      </c>
      <c r="D802" s="2" t="s">
        <v>15</v>
      </c>
      <c r="E802" s="2" t="s">
        <v>58</v>
      </c>
      <c r="F802" s="9">
        <v>46160</v>
      </c>
      <c r="G802" s="9">
        <v>46122</v>
      </c>
      <c r="H802" s="8">
        <v>109.99</v>
      </c>
      <c r="I802" s="8">
        <v>22.5</v>
      </c>
      <c r="J802" s="9">
        <v>46164</v>
      </c>
      <c r="K802" s="2" t="s">
        <v>4324</v>
      </c>
      <c r="L802" s="2" t="s">
        <v>17</v>
      </c>
    </row>
    <row r="803" spans="1:12">
      <c r="A803" s="14" t="s">
        <v>350</v>
      </c>
      <c r="B803" s="2" t="s">
        <v>351</v>
      </c>
      <c r="C803" s="14" t="s">
        <v>14</v>
      </c>
      <c r="D803" s="2" t="s">
        <v>15</v>
      </c>
      <c r="E803" s="2" t="s">
        <v>4100</v>
      </c>
      <c r="F803" s="9">
        <v>46160</v>
      </c>
      <c r="G803" s="9">
        <v>46122</v>
      </c>
      <c r="H803" s="8">
        <v>109.99</v>
      </c>
      <c r="I803" s="8">
        <v>45.21</v>
      </c>
      <c r="J803" s="9">
        <v>46163</v>
      </c>
      <c r="K803" s="2" t="s">
        <v>4325</v>
      </c>
      <c r="L803" s="2" t="s">
        <v>17</v>
      </c>
    </row>
    <row r="804" spans="1:12">
      <c r="A804" s="14" t="s">
        <v>3804</v>
      </c>
      <c r="B804" s="2" t="s">
        <v>4326</v>
      </c>
      <c r="C804" s="14" t="s">
        <v>14</v>
      </c>
      <c r="D804" s="2" t="s">
        <v>15</v>
      </c>
      <c r="E804" s="2" t="s">
        <v>2851</v>
      </c>
      <c r="F804" s="9">
        <v>46170</v>
      </c>
      <c r="G804" s="9">
        <v>46122</v>
      </c>
      <c r="H804" s="8">
        <v>102.7</v>
      </c>
      <c r="I804" s="8">
        <v>39.6</v>
      </c>
      <c r="J804" s="9">
        <v>46163</v>
      </c>
      <c r="K804" s="30" t="s">
        <v>4327</v>
      </c>
      <c r="L804" s="2" t="s">
        <v>17</v>
      </c>
    </row>
    <row r="805" spans="1:12">
      <c r="A805" s="14" t="s">
        <v>2895</v>
      </c>
      <c r="B805" s="2" t="s">
        <v>2896</v>
      </c>
      <c r="C805" s="14" t="s">
        <v>14</v>
      </c>
      <c r="D805" s="2" t="s">
        <v>15</v>
      </c>
      <c r="E805" s="2" t="s">
        <v>58</v>
      </c>
      <c r="F805" s="9">
        <v>46160</v>
      </c>
      <c r="G805" s="9">
        <v>46122</v>
      </c>
      <c r="H805" s="8">
        <v>99.99</v>
      </c>
      <c r="I805" s="8">
        <v>20.04</v>
      </c>
      <c r="J805" s="9">
        <v>46164</v>
      </c>
      <c r="K805" s="2" t="s">
        <v>4328</v>
      </c>
      <c r="L805" s="2" t="s">
        <v>17</v>
      </c>
    </row>
    <row r="806" spans="1:12">
      <c r="A806" s="14" t="s">
        <v>4319</v>
      </c>
      <c r="B806" s="2" t="s">
        <v>4329</v>
      </c>
      <c r="C806" s="14" t="s">
        <v>14</v>
      </c>
      <c r="D806" s="2" t="s">
        <v>15</v>
      </c>
      <c r="E806" s="2" t="s">
        <v>4330</v>
      </c>
      <c r="F806" s="9">
        <v>46167</v>
      </c>
      <c r="G806" s="9">
        <v>46122</v>
      </c>
      <c r="H806" s="8">
        <v>50.02</v>
      </c>
      <c r="I806" s="8">
        <v>38.01</v>
      </c>
      <c r="J806" s="9">
        <v>46172</v>
      </c>
      <c r="K806" s="2" t="s">
        <v>4321</v>
      </c>
      <c r="L806" s="2" t="s">
        <v>17</v>
      </c>
    </row>
    <row r="807" spans="1:12">
      <c r="A807" s="14" t="s">
        <v>3804</v>
      </c>
      <c r="B807" s="2" t="s">
        <v>3805</v>
      </c>
      <c r="C807" s="14" t="s">
        <v>14</v>
      </c>
      <c r="D807" s="2" t="s">
        <v>15</v>
      </c>
      <c r="E807" s="2" t="s">
        <v>2851</v>
      </c>
      <c r="F807" s="9">
        <v>46160</v>
      </c>
      <c r="G807" s="9">
        <v>46122</v>
      </c>
      <c r="H807" s="8">
        <v>92.65</v>
      </c>
      <c r="I807" s="8">
        <v>39.6</v>
      </c>
      <c r="J807" s="9">
        <v>46163</v>
      </c>
      <c r="K807" s="2" t="s">
        <v>4331</v>
      </c>
      <c r="L807" s="2" t="s">
        <v>17</v>
      </c>
    </row>
    <row r="808" spans="1:12">
      <c r="A808" s="14" t="s">
        <v>3788</v>
      </c>
      <c r="B808" s="2" t="s">
        <v>3789</v>
      </c>
      <c r="C808" s="14" t="s">
        <v>14</v>
      </c>
      <c r="D808" s="2" t="s">
        <v>15</v>
      </c>
      <c r="E808" s="2" t="s">
        <v>55</v>
      </c>
      <c r="F808" s="9">
        <v>46160</v>
      </c>
      <c r="G808" s="9">
        <v>46122</v>
      </c>
      <c r="H808" s="8">
        <v>109.99</v>
      </c>
      <c r="I808" s="8">
        <v>42.03</v>
      </c>
      <c r="J808" s="9">
        <v>46165</v>
      </c>
      <c r="K808" s="2" t="s">
        <v>4332</v>
      </c>
      <c r="L808" s="2" t="s">
        <v>17</v>
      </c>
    </row>
    <row r="809" spans="1:12">
      <c r="A809" s="14" t="s">
        <v>399</v>
      </c>
      <c r="B809" s="2" t="s">
        <v>400</v>
      </c>
      <c r="C809" s="14" t="s">
        <v>14</v>
      </c>
      <c r="D809" s="2" t="s">
        <v>15</v>
      </c>
      <c r="E809" s="2" t="s">
        <v>2633</v>
      </c>
      <c r="F809" s="9">
        <v>46163</v>
      </c>
      <c r="G809" s="9">
        <v>46122</v>
      </c>
      <c r="H809" s="8">
        <v>55.72</v>
      </c>
      <c r="I809" s="8">
        <v>5</v>
      </c>
      <c r="J809" s="9">
        <v>46167</v>
      </c>
      <c r="K809" s="2" t="s">
        <v>4333</v>
      </c>
      <c r="L809" s="2" t="s">
        <v>17</v>
      </c>
    </row>
    <row r="810" spans="1:12">
      <c r="A810" s="14" t="s">
        <v>1868</v>
      </c>
      <c r="B810" s="2" t="s">
        <v>1869</v>
      </c>
      <c r="C810" s="14" t="s">
        <v>14</v>
      </c>
      <c r="D810" s="2" t="s">
        <v>15</v>
      </c>
      <c r="E810" s="2" t="s">
        <v>2574</v>
      </c>
      <c r="F810" s="9">
        <v>46160</v>
      </c>
      <c r="G810" s="9">
        <v>46122</v>
      </c>
      <c r="H810" s="8">
        <v>109.99</v>
      </c>
      <c r="I810" s="8">
        <v>45.22</v>
      </c>
      <c r="J810" s="9">
        <v>46164</v>
      </c>
      <c r="K810" s="2" t="s">
        <v>4334</v>
      </c>
      <c r="L810" s="2" t="s">
        <v>17</v>
      </c>
    </row>
    <row r="811" spans="1:12">
      <c r="A811" s="14" t="s">
        <v>393</v>
      </c>
      <c r="B811" s="2" t="s">
        <v>394</v>
      </c>
      <c r="C811" s="14" t="s">
        <v>14</v>
      </c>
      <c r="D811" s="2" t="s">
        <v>15</v>
      </c>
      <c r="E811" s="2" t="s">
        <v>16</v>
      </c>
      <c r="F811" s="9">
        <v>46146</v>
      </c>
      <c r="G811" s="9">
        <v>46122</v>
      </c>
      <c r="H811" s="8">
        <v>5</v>
      </c>
      <c r="I811" s="8"/>
      <c r="J811" s="9"/>
      <c r="K811" s="2"/>
      <c r="L811" s="2" t="s">
        <v>17</v>
      </c>
    </row>
    <row r="812" spans="1:12">
      <c r="A812" s="14" t="s">
        <v>4335</v>
      </c>
      <c r="B812" s="2" t="s">
        <v>4336</v>
      </c>
      <c r="C812" s="14" t="s">
        <v>14</v>
      </c>
      <c r="D812" s="2" t="s">
        <v>15</v>
      </c>
      <c r="E812" s="2" t="s">
        <v>23</v>
      </c>
      <c r="F812" s="9">
        <v>46169</v>
      </c>
      <c r="G812" s="9">
        <v>46122</v>
      </c>
      <c r="H812" s="8">
        <v>49.99</v>
      </c>
      <c r="I812" s="8">
        <v>10.35</v>
      </c>
      <c r="J812" s="9">
        <v>46170</v>
      </c>
      <c r="K812" s="2" t="s">
        <v>4337</v>
      </c>
      <c r="L812" s="2" t="s">
        <v>17</v>
      </c>
    </row>
    <row r="813" spans="1:12">
      <c r="A813" s="14" t="s">
        <v>4338</v>
      </c>
      <c r="B813" s="2" t="s">
        <v>4339</v>
      </c>
      <c r="C813" s="14" t="s">
        <v>14</v>
      </c>
      <c r="D813" s="2" t="s">
        <v>15</v>
      </c>
      <c r="E813" s="2" t="s">
        <v>16</v>
      </c>
      <c r="F813" s="9">
        <v>46146</v>
      </c>
      <c r="G813" s="9">
        <v>46122</v>
      </c>
      <c r="H813" s="8">
        <v>5.39</v>
      </c>
      <c r="I813" s="8"/>
      <c r="J813" s="9"/>
      <c r="K813" s="2"/>
      <c r="L813" s="2" t="s">
        <v>17</v>
      </c>
    </row>
    <row r="814" spans="1:12">
      <c r="A814" s="14" t="s">
        <v>4340</v>
      </c>
      <c r="B814" s="2" t="s">
        <v>4341</v>
      </c>
      <c r="C814" s="14" t="s">
        <v>14</v>
      </c>
      <c r="D814" s="2" t="s">
        <v>15</v>
      </c>
      <c r="E814" s="2" t="s">
        <v>16</v>
      </c>
      <c r="F814" s="9">
        <v>46146</v>
      </c>
      <c r="G814" s="9">
        <v>46122</v>
      </c>
      <c r="H814" s="8">
        <v>16.11</v>
      </c>
      <c r="I814" s="8"/>
      <c r="J814" s="9"/>
      <c r="K814" s="2"/>
      <c r="L814" s="2" t="s">
        <v>17</v>
      </c>
    </row>
    <row r="815" spans="1:12">
      <c r="A815" s="14" t="s">
        <v>1716</v>
      </c>
      <c r="B815" s="2" t="s">
        <v>1717</v>
      </c>
      <c r="C815" s="14" t="s">
        <v>14</v>
      </c>
      <c r="D815" s="2" t="s">
        <v>15</v>
      </c>
      <c r="E815" s="2" t="s">
        <v>16</v>
      </c>
      <c r="F815" s="9">
        <v>46146</v>
      </c>
      <c r="G815" s="9">
        <v>46122</v>
      </c>
      <c r="H815" s="8">
        <v>26.82</v>
      </c>
      <c r="I815" s="8"/>
      <c r="J815" s="9"/>
      <c r="K815" s="2"/>
      <c r="L815" s="2" t="s">
        <v>17</v>
      </c>
    </row>
    <row r="816" spans="1:12">
      <c r="A816" s="14" t="e">
        <v>#N/A</v>
      </c>
      <c r="B816" s="2" t="s">
        <v>442</v>
      </c>
      <c r="C816" s="14" t="s">
        <v>14</v>
      </c>
      <c r="D816" s="2" t="s">
        <v>15</v>
      </c>
      <c r="E816" s="2" t="s">
        <v>16</v>
      </c>
      <c r="F816" s="9">
        <v>46146</v>
      </c>
      <c r="G816" s="9">
        <v>46122</v>
      </c>
      <c r="H816" s="8">
        <v>35.74</v>
      </c>
      <c r="I816" s="8"/>
      <c r="J816" s="9"/>
      <c r="K816" s="2"/>
      <c r="L816" s="2" t="s">
        <v>17</v>
      </c>
    </row>
    <row r="817" spans="1:12">
      <c r="A817" s="14" t="s">
        <v>2921</v>
      </c>
      <c r="B817" s="2" t="s">
        <v>2922</v>
      </c>
      <c r="C817" s="14" t="s">
        <v>14</v>
      </c>
      <c r="D817" s="2" t="s">
        <v>15</v>
      </c>
      <c r="E817" s="2" t="s">
        <v>2851</v>
      </c>
      <c r="F817" s="9">
        <v>46162</v>
      </c>
      <c r="G817" s="9">
        <v>46122</v>
      </c>
      <c r="H817" s="8">
        <v>59.99</v>
      </c>
      <c r="I817" s="8">
        <v>8.07</v>
      </c>
      <c r="J817" s="9">
        <v>46165</v>
      </c>
      <c r="K817" s="2" t="s">
        <v>4342</v>
      </c>
      <c r="L817" s="2" t="s">
        <v>17</v>
      </c>
    </row>
    <row r="818" spans="1:12">
      <c r="A818" s="14" t="s">
        <v>410</v>
      </c>
      <c r="B818" s="2" t="s">
        <v>411</v>
      </c>
      <c r="C818" s="14" t="s">
        <v>14</v>
      </c>
      <c r="D818" s="2" t="s">
        <v>15</v>
      </c>
      <c r="E818" s="2" t="s">
        <v>2851</v>
      </c>
      <c r="F818" s="9">
        <v>46167</v>
      </c>
      <c r="G818" s="9">
        <v>46122</v>
      </c>
      <c r="H818" s="8">
        <v>49.99</v>
      </c>
      <c r="I818" s="8">
        <v>10.25</v>
      </c>
      <c r="J818" s="9">
        <v>46171</v>
      </c>
      <c r="K818" s="2" t="s">
        <v>4343</v>
      </c>
      <c r="L818" s="2" t="s">
        <v>17</v>
      </c>
    </row>
    <row r="819" spans="1:12">
      <c r="A819" s="14" t="s">
        <v>433</v>
      </c>
      <c r="B819" s="2" t="s">
        <v>434</v>
      </c>
      <c r="C819" s="14" t="s">
        <v>14</v>
      </c>
      <c r="D819" s="2" t="s">
        <v>15</v>
      </c>
      <c r="E819" s="2" t="s">
        <v>16</v>
      </c>
      <c r="F819" s="9">
        <v>46146</v>
      </c>
      <c r="G819" s="9">
        <v>46122</v>
      </c>
      <c r="H819" s="8">
        <v>10.74</v>
      </c>
      <c r="I819" s="8"/>
      <c r="J819" s="9"/>
      <c r="K819" s="2"/>
      <c r="L819" s="2" t="s">
        <v>17</v>
      </c>
    </row>
    <row r="820" spans="1:12">
      <c r="A820" s="14" t="s">
        <v>4344</v>
      </c>
      <c r="B820" s="2" t="s">
        <v>4345</v>
      </c>
      <c r="C820" s="14" t="s">
        <v>14</v>
      </c>
      <c r="D820" s="2" t="s">
        <v>15</v>
      </c>
      <c r="E820" s="2" t="s">
        <v>2851</v>
      </c>
      <c r="F820" s="9">
        <v>46157</v>
      </c>
      <c r="G820" s="9">
        <v>46122</v>
      </c>
      <c r="H820" s="8">
        <v>129.99</v>
      </c>
      <c r="I820" s="8">
        <v>25</v>
      </c>
      <c r="J820" s="9">
        <v>46163</v>
      </c>
      <c r="K820" s="2" t="s">
        <v>4346</v>
      </c>
      <c r="L820" s="2" t="s">
        <v>17</v>
      </c>
    </row>
    <row r="821" spans="1:12">
      <c r="A821" s="14" t="s">
        <v>429</v>
      </c>
      <c r="B821" s="2" t="s">
        <v>430</v>
      </c>
      <c r="C821" s="14" t="s">
        <v>14</v>
      </c>
      <c r="D821" s="2" t="s">
        <v>15</v>
      </c>
      <c r="E821" s="2" t="s">
        <v>2851</v>
      </c>
      <c r="F821" s="9">
        <v>46167</v>
      </c>
      <c r="G821" s="9">
        <v>46122</v>
      </c>
      <c r="H821" s="8">
        <v>49.99</v>
      </c>
      <c r="I821" s="8">
        <v>30</v>
      </c>
      <c r="J821" s="9">
        <v>46172</v>
      </c>
      <c r="K821" s="2" t="s">
        <v>4347</v>
      </c>
      <c r="L821" s="2" t="s">
        <v>17</v>
      </c>
    </row>
    <row r="822" spans="1:12">
      <c r="A822" s="14" t="s">
        <v>414</v>
      </c>
      <c r="B822" s="2" t="s">
        <v>415</v>
      </c>
      <c r="C822" s="14" t="s">
        <v>14</v>
      </c>
      <c r="D822" s="2" t="s">
        <v>15</v>
      </c>
      <c r="E822" s="2" t="s">
        <v>80</v>
      </c>
      <c r="F822" s="9">
        <v>46170</v>
      </c>
      <c r="G822" s="9">
        <v>46122</v>
      </c>
      <c r="H822" s="8">
        <v>42.88</v>
      </c>
      <c r="I822" s="8">
        <v>20</v>
      </c>
      <c r="J822" s="9">
        <v>46170</v>
      </c>
      <c r="K822" s="2" t="s">
        <v>4348</v>
      </c>
      <c r="L822" s="2" t="s">
        <v>17</v>
      </c>
    </row>
    <row r="823" spans="1:12">
      <c r="A823" s="14" t="s">
        <v>4349</v>
      </c>
      <c r="B823" s="2" t="s">
        <v>4350</v>
      </c>
      <c r="C823" s="14" t="s">
        <v>14</v>
      </c>
      <c r="D823" s="2" t="s">
        <v>15</v>
      </c>
      <c r="E823" s="2" t="s">
        <v>4330</v>
      </c>
      <c r="F823" s="9">
        <v>46167</v>
      </c>
      <c r="G823" s="9">
        <v>46122</v>
      </c>
      <c r="H823" s="8">
        <v>49.99</v>
      </c>
      <c r="I823" s="8">
        <v>20.03</v>
      </c>
      <c r="J823" s="9">
        <v>46170</v>
      </c>
      <c r="K823" s="2" t="s">
        <v>4351</v>
      </c>
      <c r="L823" s="2" t="s">
        <v>17</v>
      </c>
    </row>
    <row r="824" spans="1:12">
      <c r="A824" s="14" t="s">
        <v>1702</v>
      </c>
      <c r="B824" s="2" t="s">
        <v>1703</v>
      </c>
      <c r="C824" s="14" t="s">
        <v>14</v>
      </c>
      <c r="D824" s="2" t="s">
        <v>15</v>
      </c>
      <c r="E824" s="2" t="s">
        <v>4100</v>
      </c>
      <c r="F824" s="9">
        <v>46164</v>
      </c>
      <c r="G824" s="9">
        <v>46122</v>
      </c>
      <c r="H824" s="8">
        <v>46.44</v>
      </c>
      <c r="I824" s="8">
        <v>19.84</v>
      </c>
      <c r="J824" s="9">
        <v>46167</v>
      </c>
      <c r="K824" s="2" t="s">
        <v>4352</v>
      </c>
      <c r="L824" s="2" t="s">
        <v>17</v>
      </c>
    </row>
    <row r="825" spans="1:12">
      <c r="A825" s="14" t="s">
        <v>4353</v>
      </c>
      <c r="B825" s="2" t="s">
        <v>4354</v>
      </c>
      <c r="C825" s="14" t="s">
        <v>4355</v>
      </c>
      <c r="D825" s="2" t="s">
        <v>15</v>
      </c>
      <c r="E825" s="2" t="s">
        <v>58</v>
      </c>
      <c r="F825" s="9">
        <v>46153</v>
      </c>
      <c r="G825" s="9">
        <v>46060</v>
      </c>
      <c r="H825" s="8">
        <v>179.98</v>
      </c>
      <c r="I825" s="8">
        <v>26.46</v>
      </c>
      <c r="J825" s="9">
        <v>46154</v>
      </c>
      <c r="K825" s="2" t="s">
        <v>4356</v>
      </c>
      <c r="L825" s="2" t="s">
        <v>17</v>
      </c>
    </row>
    <row r="826" spans="1:12">
      <c r="A826" s="14" t="s">
        <v>4357</v>
      </c>
      <c r="B826" s="2" t="s">
        <v>4358</v>
      </c>
      <c r="C826" s="14" t="s">
        <v>4355</v>
      </c>
      <c r="D826" s="2" t="s">
        <v>15</v>
      </c>
      <c r="E826" s="2" t="s">
        <v>55</v>
      </c>
      <c r="F826" s="9">
        <v>46153</v>
      </c>
      <c r="G826" s="9">
        <v>46060</v>
      </c>
      <c r="H826" s="8">
        <v>229.97</v>
      </c>
      <c r="I826" s="8">
        <v>33.799999999999997</v>
      </c>
      <c r="J826" s="9">
        <v>46154</v>
      </c>
      <c r="K826" s="2" t="s">
        <v>4359</v>
      </c>
      <c r="L826" s="2" t="s">
        <v>17</v>
      </c>
    </row>
    <row r="827" spans="1:12">
      <c r="A827" s="14" t="s">
        <v>4360</v>
      </c>
      <c r="B827" s="2" t="s">
        <v>4361</v>
      </c>
      <c r="C827" s="14" t="s">
        <v>4355</v>
      </c>
      <c r="D827" s="2" t="s">
        <v>15</v>
      </c>
      <c r="E827" s="2" t="s">
        <v>58</v>
      </c>
      <c r="F827" s="9">
        <v>46153</v>
      </c>
      <c r="G827" s="9">
        <v>46060</v>
      </c>
      <c r="H827" s="8">
        <v>99.99</v>
      </c>
      <c r="I827" s="8">
        <v>21</v>
      </c>
      <c r="J827" s="9">
        <v>46155</v>
      </c>
      <c r="K827" s="2" t="s">
        <v>4362</v>
      </c>
      <c r="L827" s="2" t="s">
        <v>17</v>
      </c>
    </row>
    <row r="828" spans="1:12">
      <c r="A828" s="14" t="s">
        <v>4363</v>
      </c>
      <c r="B828" s="2" t="s">
        <v>4364</v>
      </c>
      <c r="C828" s="14" t="s">
        <v>4355</v>
      </c>
      <c r="D828" s="2" t="s">
        <v>15</v>
      </c>
      <c r="E828" s="2" t="s">
        <v>58</v>
      </c>
      <c r="F828" s="9">
        <v>46153</v>
      </c>
      <c r="G828" s="9">
        <v>46060</v>
      </c>
      <c r="H828" s="8">
        <v>89.99</v>
      </c>
      <c r="I828" s="8">
        <v>13.23</v>
      </c>
      <c r="J828" s="9">
        <v>46155</v>
      </c>
      <c r="K828" s="2" t="s">
        <v>4365</v>
      </c>
      <c r="L828" s="2" t="s">
        <v>17</v>
      </c>
    </row>
    <row r="829" spans="1:12">
      <c r="A829" s="14" t="s">
        <v>4366</v>
      </c>
      <c r="B829" s="2" t="s">
        <v>4367</v>
      </c>
      <c r="C829" s="14" t="s">
        <v>4355</v>
      </c>
      <c r="D829" s="2" t="s">
        <v>15</v>
      </c>
      <c r="E829" s="2" t="s">
        <v>23</v>
      </c>
      <c r="F829" s="9">
        <v>46153</v>
      </c>
      <c r="G829" s="9">
        <v>46060</v>
      </c>
      <c r="H829" s="8">
        <v>143.75</v>
      </c>
      <c r="I829" s="8">
        <v>21.13</v>
      </c>
      <c r="J829" s="9">
        <v>46157</v>
      </c>
      <c r="K829" s="2" t="s">
        <v>4368</v>
      </c>
      <c r="L829" s="2" t="s">
        <v>17</v>
      </c>
    </row>
    <row r="830" spans="1:12">
      <c r="A830" s="14" t="s">
        <v>4369</v>
      </c>
      <c r="B830" s="2" t="s">
        <v>4370</v>
      </c>
      <c r="C830" s="14" t="s">
        <v>4355</v>
      </c>
      <c r="D830" s="2" t="s">
        <v>15</v>
      </c>
      <c r="E830" s="2" t="s">
        <v>58</v>
      </c>
      <c r="F830" s="9">
        <v>46153</v>
      </c>
      <c r="G830" s="9">
        <v>46060</v>
      </c>
      <c r="H830" s="8">
        <v>584.91999999999996</v>
      </c>
      <c r="I830" s="8">
        <v>218.52</v>
      </c>
      <c r="J830" s="9">
        <v>46154</v>
      </c>
      <c r="K830" s="2" t="s">
        <v>4371</v>
      </c>
      <c r="L830" s="2" t="s">
        <v>17</v>
      </c>
    </row>
    <row r="831" spans="1:12">
      <c r="A831" s="14" t="s">
        <v>4069</v>
      </c>
      <c r="B831" s="2" t="s">
        <v>4070</v>
      </c>
      <c r="C831" s="14" t="s">
        <v>4355</v>
      </c>
      <c r="D831" s="2" t="s">
        <v>15</v>
      </c>
      <c r="E831" s="2" t="s">
        <v>55</v>
      </c>
      <c r="F831" s="9">
        <v>46153</v>
      </c>
      <c r="G831" s="9">
        <v>46060</v>
      </c>
      <c r="H831" s="8">
        <v>4057.76</v>
      </c>
      <c r="I831" s="8">
        <v>596.49</v>
      </c>
      <c r="J831" s="9">
        <v>46155</v>
      </c>
      <c r="K831" s="2" t="s">
        <v>4372</v>
      </c>
      <c r="L831" s="2" t="s">
        <v>17</v>
      </c>
    </row>
    <row r="832" spans="1:12">
      <c r="A832" s="14" t="s">
        <v>4373</v>
      </c>
      <c r="B832" s="2" t="s">
        <v>4374</v>
      </c>
      <c r="C832" s="14" t="s">
        <v>4355</v>
      </c>
      <c r="D832" s="2" t="s">
        <v>15</v>
      </c>
      <c r="E832" s="2" t="s">
        <v>23</v>
      </c>
      <c r="F832" s="9">
        <v>46153</v>
      </c>
      <c r="G832" s="9">
        <v>46060</v>
      </c>
      <c r="H832" s="8">
        <v>162.37</v>
      </c>
      <c r="I832" s="8">
        <v>56.11</v>
      </c>
      <c r="J832" s="9">
        <v>46154</v>
      </c>
      <c r="K832" s="2" t="s">
        <v>4375</v>
      </c>
      <c r="L832" s="2" t="s">
        <v>17</v>
      </c>
    </row>
    <row r="833" spans="1:12">
      <c r="A833" s="2" t="s">
        <v>1039</v>
      </c>
      <c r="B833" s="2" t="s">
        <v>1040</v>
      </c>
      <c r="C833" s="14" t="s">
        <v>4355</v>
      </c>
      <c r="D833" s="2" t="s">
        <v>15</v>
      </c>
      <c r="E833" s="2" t="s">
        <v>23</v>
      </c>
      <c r="F833" s="9">
        <v>46153</v>
      </c>
      <c r="G833" s="9">
        <v>46063</v>
      </c>
      <c r="H833" s="8">
        <v>114.73</v>
      </c>
      <c r="I833" s="8">
        <v>40.06</v>
      </c>
      <c r="J833" s="9">
        <v>46154</v>
      </c>
      <c r="K833" s="2" t="s">
        <v>4376</v>
      </c>
      <c r="L833" s="2" t="s">
        <v>17</v>
      </c>
    </row>
    <row r="834" spans="1:12">
      <c r="A834" s="2" t="s">
        <v>4377</v>
      </c>
      <c r="B834" s="2" t="s">
        <v>4378</v>
      </c>
      <c r="C834" s="14" t="s">
        <v>4355</v>
      </c>
      <c r="D834" s="2" t="s">
        <v>15</v>
      </c>
      <c r="E834" s="2" t="s">
        <v>55</v>
      </c>
      <c r="F834" s="9">
        <v>46153</v>
      </c>
      <c r="G834" s="9">
        <v>46063</v>
      </c>
      <c r="H834" s="8">
        <v>2384.66</v>
      </c>
      <c r="I834" s="8">
        <v>351.42</v>
      </c>
      <c r="J834" s="9">
        <v>46154</v>
      </c>
      <c r="K834" s="2" t="s">
        <v>4379</v>
      </c>
      <c r="L834" s="2" t="s">
        <v>17</v>
      </c>
    </row>
    <row r="835" spans="1:12">
      <c r="A835" s="2" t="s">
        <v>487</v>
      </c>
      <c r="B835" s="2" t="s">
        <v>4380</v>
      </c>
      <c r="C835" s="14" t="s">
        <v>4355</v>
      </c>
      <c r="D835" s="2" t="s">
        <v>15</v>
      </c>
      <c r="E835" s="2" t="s">
        <v>55</v>
      </c>
      <c r="F835" s="9">
        <v>46154</v>
      </c>
      <c r="G835" s="9">
        <v>46063</v>
      </c>
      <c r="H835" s="8">
        <v>207.38</v>
      </c>
      <c r="I835" s="8">
        <v>85.2</v>
      </c>
      <c r="J835" s="9">
        <v>46157</v>
      </c>
      <c r="K835" s="2" t="s">
        <v>4381</v>
      </c>
      <c r="L835" s="2" t="s">
        <v>17</v>
      </c>
    </row>
    <row r="836" spans="1:12">
      <c r="A836" s="2" t="s">
        <v>4382</v>
      </c>
      <c r="B836" s="2" t="s">
        <v>4383</v>
      </c>
      <c r="C836" s="14" t="s">
        <v>4355</v>
      </c>
      <c r="D836" s="2" t="s">
        <v>15</v>
      </c>
      <c r="E836" s="2" t="s">
        <v>55</v>
      </c>
      <c r="F836" s="9">
        <v>46154</v>
      </c>
      <c r="G836" s="9">
        <v>46063</v>
      </c>
      <c r="H836" s="8">
        <v>199.98</v>
      </c>
      <c r="I836" s="8">
        <v>21</v>
      </c>
      <c r="J836" s="9">
        <v>46157</v>
      </c>
      <c r="K836" s="2" t="s">
        <v>4384</v>
      </c>
      <c r="L836" s="2" t="s">
        <v>17</v>
      </c>
    </row>
    <row r="837" spans="1:12">
      <c r="A837" s="2" t="s">
        <v>509</v>
      </c>
      <c r="B837" s="2" t="s">
        <v>510</v>
      </c>
      <c r="C837" s="14" t="s">
        <v>4355</v>
      </c>
      <c r="D837" s="2" t="s">
        <v>15</v>
      </c>
      <c r="E837" s="2" t="s">
        <v>58</v>
      </c>
      <c r="F837" s="9">
        <v>46153</v>
      </c>
      <c r="G837" s="9">
        <v>46063</v>
      </c>
      <c r="H837" s="8">
        <v>113.98</v>
      </c>
      <c r="I837" s="8">
        <v>31.3</v>
      </c>
      <c r="J837" s="9">
        <v>46155</v>
      </c>
      <c r="K837" s="2" t="s">
        <v>4385</v>
      </c>
      <c r="L837" s="2" t="s">
        <v>17</v>
      </c>
    </row>
    <row r="838" spans="1:12">
      <c r="A838" s="14" t="s">
        <v>4386</v>
      </c>
      <c r="B838" s="2" t="s">
        <v>4387</v>
      </c>
      <c r="C838" s="14" t="s">
        <v>4355</v>
      </c>
      <c r="D838" s="2" t="s">
        <v>15</v>
      </c>
      <c r="E838" s="2" t="s">
        <v>23</v>
      </c>
      <c r="F838" s="9">
        <v>46154</v>
      </c>
      <c r="G838" s="9">
        <v>46063</v>
      </c>
      <c r="H838" s="8">
        <v>107.98</v>
      </c>
      <c r="I838" s="8">
        <v>20</v>
      </c>
      <c r="J838" s="9">
        <v>46159</v>
      </c>
      <c r="K838" s="2" t="s">
        <v>4388</v>
      </c>
      <c r="L838" s="2" t="s">
        <v>17</v>
      </c>
    </row>
    <row r="839" spans="1:12">
      <c r="A839" s="14" t="s">
        <v>4389</v>
      </c>
      <c r="B839" s="2" t="s">
        <v>4390</v>
      </c>
      <c r="C839" s="14" t="s">
        <v>4355</v>
      </c>
      <c r="D839" s="2" t="s">
        <v>15</v>
      </c>
      <c r="E839" s="2" t="s">
        <v>55</v>
      </c>
      <c r="F839" s="9">
        <v>46154</v>
      </c>
      <c r="G839" s="9">
        <v>46063</v>
      </c>
      <c r="H839" s="8">
        <v>139.97999999999999</v>
      </c>
      <c r="I839" s="8">
        <v>14.7</v>
      </c>
      <c r="J839" s="9">
        <v>46157</v>
      </c>
      <c r="K839" s="2" t="s">
        <v>4391</v>
      </c>
      <c r="L839" s="2" t="s">
        <v>17</v>
      </c>
    </row>
    <row r="840" spans="1:12">
      <c r="A840" s="14" t="s">
        <v>4392</v>
      </c>
      <c r="B840" s="2" t="str">
        <f>"7.2190554"</f>
        <v>7.2190554</v>
      </c>
      <c r="C840" s="14" t="s">
        <v>4355</v>
      </c>
      <c r="D840" s="2" t="s">
        <v>15</v>
      </c>
      <c r="E840" s="2" t="s">
        <v>58</v>
      </c>
      <c r="F840" s="9">
        <v>46155</v>
      </c>
      <c r="G840" s="9">
        <v>46063</v>
      </c>
      <c r="H840" s="8">
        <v>389.87</v>
      </c>
      <c r="I840" s="8">
        <v>57.4</v>
      </c>
      <c r="J840" s="9">
        <v>46155</v>
      </c>
      <c r="K840" s="2" t="s">
        <v>4393</v>
      </c>
      <c r="L840" s="2" t="s">
        <v>17</v>
      </c>
    </row>
    <row r="841" spans="1:12">
      <c r="A841" s="2" t="s">
        <v>4394</v>
      </c>
      <c r="B841" s="2" t="s">
        <v>4395</v>
      </c>
      <c r="C841" s="14" t="s">
        <v>4355</v>
      </c>
      <c r="D841" s="2" t="s">
        <v>15</v>
      </c>
      <c r="E841" s="2" t="s">
        <v>23</v>
      </c>
      <c r="F841" s="9">
        <v>46154</v>
      </c>
      <c r="G841" s="9">
        <v>46063</v>
      </c>
      <c r="H841" s="8">
        <v>143.97</v>
      </c>
      <c r="I841" s="8">
        <v>15.59</v>
      </c>
      <c r="J841" s="9">
        <v>46159</v>
      </c>
      <c r="K841" s="2" t="s">
        <v>4396</v>
      </c>
      <c r="L841" s="2" t="s">
        <v>17</v>
      </c>
    </row>
    <row r="842" spans="1:12">
      <c r="A842" s="2" t="s">
        <v>4397</v>
      </c>
      <c r="B842" s="2" t="s">
        <v>4398</v>
      </c>
      <c r="C842" s="14" t="s">
        <v>4355</v>
      </c>
      <c r="D842" s="2" t="s">
        <v>15</v>
      </c>
      <c r="E842" s="2" t="s">
        <v>58</v>
      </c>
      <c r="F842" s="9">
        <v>46154</v>
      </c>
      <c r="G842" s="9">
        <v>46063</v>
      </c>
      <c r="H842" s="8">
        <v>141.97</v>
      </c>
      <c r="I842" s="8">
        <v>15.45</v>
      </c>
      <c r="J842" s="9">
        <v>46159</v>
      </c>
      <c r="K842" s="2" t="s">
        <v>4399</v>
      </c>
      <c r="L842" s="2" t="s">
        <v>17</v>
      </c>
    </row>
    <row r="843" spans="1:12">
      <c r="A843" s="2" t="s">
        <v>498</v>
      </c>
      <c r="B843" s="2" t="s">
        <v>499</v>
      </c>
      <c r="C843" s="14" t="s">
        <v>4355</v>
      </c>
      <c r="D843" s="2" t="s">
        <v>15</v>
      </c>
      <c r="E843" s="2" t="s">
        <v>58</v>
      </c>
      <c r="F843" s="9">
        <v>46154</v>
      </c>
      <c r="G843" s="9">
        <v>46063</v>
      </c>
      <c r="H843" s="8">
        <v>239.96</v>
      </c>
      <c r="I843" s="8">
        <v>243.27</v>
      </c>
      <c r="J843" s="9">
        <v>46156</v>
      </c>
      <c r="K843" s="2" t="s">
        <v>4400</v>
      </c>
      <c r="L843" s="2" t="s">
        <v>17</v>
      </c>
    </row>
    <row r="844" spans="1:12">
      <c r="A844" s="14" t="s">
        <v>4401</v>
      </c>
      <c r="B844" s="2" t="str">
        <f>"7.2182416.10"</f>
        <v>7.2182416.10</v>
      </c>
      <c r="C844" s="14" t="s">
        <v>4355</v>
      </c>
      <c r="D844" s="2" t="s">
        <v>15</v>
      </c>
      <c r="E844" s="2" t="s">
        <v>23</v>
      </c>
      <c r="F844" s="9">
        <v>46154</v>
      </c>
      <c r="G844" s="9">
        <v>46063</v>
      </c>
      <c r="H844" s="8">
        <v>99.98</v>
      </c>
      <c r="I844" s="8">
        <v>11.96</v>
      </c>
      <c r="J844" s="9">
        <v>46158</v>
      </c>
      <c r="K844" s="2" t="s">
        <v>4402</v>
      </c>
      <c r="L844" s="2" t="s">
        <v>17</v>
      </c>
    </row>
    <row r="845" spans="1:12">
      <c r="A845" s="14" t="s">
        <v>4403</v>
      </c>
      <c r="B845" s="29" t="str">
        <f>"7.2166276"</f>
        <v>7.2166276</v>
      </c>
      <c r="C845" s="14" t="s">
        <v>4355</v>
      </c>
      <c r="D845" s="2" t="s">
        <v>15</v>
      </c>
      <c r="E845" s="2" t="s">
        <v>58</v>
      </c>
      <c r="F845" s="9">
        <v>46154</v>
      </c>
      <c r="G845" s="9">
        <v>46068</v>
      </c>
      <c r="H845" s="8">
        <v>52.99</v>
      </c>
      <c r="I845" s="8">
        <v>15.67</v>
      </c>
      <c r="J845" s="9">
        <v>46157</v>
      </c>
      <c r="K845" s="2" t="s">
        <v>4404</v>
      </c>
      <c r="L845" s="2" t="s">
        <v>17</v>
      </c>
    </row>
    <row r="846" spans="1:12">
      <c r="A846" s="14" t="s">
        <v>4405</v>
      </c>
      <c r="B846" s="2" t="str">
        <f>"7.2086475.10"</f>
        <v>7.2086475.10</v>
      </c>
      <c r="C846" s="14" t="s">
        <v>4355</v>
      </c>
      <c r="D846" s="2" t="s">
        <v>15</v>
      </c>
      <c r="E846" s="2" t="s">
        <v>55</v>
      </c>
      <c r="F846" s="9">
        <v>46153</v>
      </c>
      <c r="G846" s="9">
        <v>46063</v>
      </c>
      <c r="H846" s="8">
        <v>379.01</v>
      </c>
      <c r="I846" s="8">
        <v>333.76</v>
      </c>
      <c r="J846" s="9">
        <v>46153</v>
      </c>
      <c r="K846" s="2" t="s">
        <v>4406</v>
      </c>
      <c r="L846" s="2" t="s">
        <v>17</v>
      </c>
    </row>
    <row r="847" spans="1:12">
      <c r="A847" s="2" t="s">
        <v>4407</v>
      </c>
      <c r="B847" s="2" t="s">
        <v>4408</v>
      </c>
      <c r="C847" s="14" t="s">
        <v>4355</v>
      </c>
      <c r="D847" s="2" t="s">
        <v>15</v>
      </c>
      <c r="E847" s="2" t="s">
        <v>58</v>
      </c>
      <c r="F847" s="9">
        <v>46154</v>
      </c>
      <c r="G847" s="9">
        <v>46065</v>
      </c>
      <c r="H847" s="8">
        <v>179.98</v>
      </c>
      <c r="I847" s="8">
        <v>26.45</v>
      </c>
      <c r="J847" s="9">
        <v>46157</v>
      </c>
      <c r="K847" s="2" t="s">
        <v>4409</v>
      </c>
      <c r="L847" s="2" t="s">
        <v>17</v>
      </c>
    </row>
    <row r="848" spans="1:12">
      <c r="A848" s="14" t="s">
        <v>4410</v>
      </c>
      <c r="B848" s="2" t="s">
        <v>4411</v>
      </c>
      <c r="C848" s="14" t="s">
        <v>4355</v>
      </c>
      <c r="D848" s="2" t="s">
        <v>15</v>
      </c>
      <c r="E848" s="2" t="s">
        <v>2633</v>
      </c>
      <c r="F848" s="9">
        <v>46154</v>
      </c>
      <c r="G848" s="9">
        <v>46063</v>
      </c>
      <c r="H848" s="8">
        <v>102.7</v>
      </c>
      <c r="I848" s="8">
        <v>5.49</v>
      </c>
      <c r="J848" s="9">
        <v>46159</v>
      </c>
      <c r="K848" s="2" t="s">
        <v>4412</v>
      </c>
      <c r="L848" s="2" t="s">
        <v>17</v>
      </c>
    </row>
    <row r="849" spans="1:12">
      <c r="A849" s="2" t="s">
        <v>646</v>
      </c>
      <c r="B849" s="2" t="s">
        <v>647</v>
      </c>
      <c r="C849" s="14" t="s">
        <v>4355</v>
      </c>
      <c r="D849" s="2" t="s">
        <v>15</v>
      </c>
      <c r="E849" s="2" t="s">
        <v>55</v>
      </c>
      <c r="F849" s="9">
        <v>46155</v>
      </c>
      <c r="G849" s="9">
        <v>46068</v>
      </c>
      <c r="H849" s="8">
        <v>99.99</v>
      </c>
      <c r="I849" s="8">
        <v>29.24</v>
      </c>
      <c r="J849" s="9">
        <v>46160</v>
      </c>
      <c r="K849" s="2" t="s">
        <v>4413</v>
      </c>
      <c r="L849" s="2" t="s">
        <v>17</v>
      </c>
    </row>
    <row r="850" spans="1:12">
      <c r="A850" s="2" t="s">
        <v>4414</v>
      </c>
      <c r="B850" s="2" t="s">
        <v>4415</v>
      </c>
      <c r="C850" s="14" t="s">
        <v>4355</v>
      </c>
      <c r="D850" s="2" t="s">
        <v>15</v>
      </c>
      <c r="E850" s="2" t="s">
        <v>23</v>
      </c>
      <c r="F850" s="9">
        <v>46156</v>
      </c>
      <c r="G850" s="9">
        <v>46068</v>
      </c>
      <c r="H850" s="8">
        <v>86.99</v>
      </c>
      <c r="I850" s="8">
        <v>12.78</v>
      </c>
      <c r="J850" s="9">
        <v>46159</v>
      </c>
      <c r="K850" s="2" t="s">
        <v>4416</v>
      </c>
      <c r="L850" s="2" t="s">
        <v>17</v>
      </c>
    </row>
    <row r="851" spans="1:12">
      <c r="A851" s="2" t="s">
        <v>4417</v>
      </c>
      <c r="B851" s="2" t="s">
        <v>4418</v>
      </c>
      <c r="C851" s="14" t="s">
        <v>4355</v>
      </c>
      <c r="D851" s="2" t="s">
        <v>15</v>
      </c>
      <c r="E851" s="2" t="s">
        <v>55</v>
      </c>
      <c r="F851" s="9">
        <v>46156</v>
      </c>
      <c r="G851" s="9">
        <v>46068</v>
      </c>
      <c r="H851" s="8">
        <v>106.99</v>
      </c>
      <c r="I851" s="8">
        <v>15.72</v>
      </c>
      <c r="J851" s="9">
        <v>46161</v>
      </c>
      <c r="K851" s="2" t="s">
        <v>4419</v>
      </c>
      <c r="L851" s="2" t="s">
        <v>17</v>
      </c>
    </row>
    <row r="852" spans="1:12">
      <c r="A852" s="2" t="s">
        <v>577</v>
      </c>
      <c r="B852" s="2" t="s">
        <v>578</v>
      </c>
      <c r="C852" s="14" t="s">
        <v>4355</v>
      </c>
      <c r="D852" s="2" t="s">
        <v>15</v>
      </c>
      <c r="E852" s="2" t="s">
        <v>23</v>
      </c>
      <c r="F852" s="9">
        <v>46155</v>
      </c>
      <c r="G852" s="9">
        <v>46068</v>
      </c>
      <c r="H852" s="8">
        <v>398.28</v>
      </c>
      <c r="I852" s="8">
        <v>121.61</v>
      </c>
      <c r="J852" s="9">
        <v>46160</v>
      </c>
      <c r="K852" s="2" t="s">
        <v>4420</v>
      </c>
      <c r="L852" s="2" t="s">
        <v>17</v>
      </c>
    </row>
    <row r="853" spans="1:12">
      <c r="A853" s="2" t="s">
        <v>580</v>
      </c>
      <c r="B853" s="2" t="s">
        <v>581</v>
      </c>
      <c r="C853" s="14" t="s">
        <v>4355</v>
      </c>
      <c r="D853" s="2" t="s">
        <v>15</v>
      </c>
      <c r="E853" s="2" t="s">
        <v>55</v>
      </c>
      <c r="F853" s="9">
        <v>46155</v>
      </c>
      <c r="G853" s="9">
        <v>46068</v>
      </c>
      <c r="H853" s="8">
        <v>149.99</v>
      </c>
      <c r="I853" s="8">
        <v>43.86</v>
      </c>
      <c r="J853" s="9">
        <v>46158</v>
      </c>
      <c r="K853" s="2" t="s">
        <v>4421</v>
      </c>
      <c r="L853" s="2" t="s">
        <v>17</v>
      </c>
    </row>
    <row r="854" spans="1:12">
      <c r="A854" s="2" t="s">
        <v>4422</v>
      </c>
      <c r="B854" s="2" t="s">
        <v>4423</v>
      </c>
      <c r="C854" s="14" t="s">
        <v>4355</v>
      </c>
      <c r="D854" s="2" t="s">
        <v>15</v>
      </c>
      <c r="E854" s="2" t="s">
        <v>23</v>
      </c>
      <c r="F854" s="9">
        <v>46156</v>
      </c>
      <c r="G854" s="9">
        <v>46068</v>
      </c>
      <c r="H854" s="8">
        <v>99.99</v>
      </c>
      <c r="I854" s="8">
        <v>7.34</v>
      </c>
      <c r="J854" s="9">
        <v>46161</v>
      </c>
      <c r="K854" s="2" t="s">
        <v>4424</v>
      </c>
      <c r="L854" s="2" t="s">
        <v>17</v>
      </c>
    </row>
    <row r="855" spans="1:12">
      <c r="A855" s="2" t="s">
        <v>4425</v>
      </c>
      <c r="B855" s="2" t="s">
        <v>4426</v>
      </c>
      <c r="C855" s="14" t="s">
        <v>4355</v>
      </c>
      <c r="D855" s="2" t="s">
        <v>15</v>
      </c>
      <c r="F855" s="9">
        <v>46170</v>
      </c>
      <c r="G855" s="9">
        <v>46068</v>
      </c>
      <c r="H855" s="8">
        <v>99.99</v>
      </c>
      <c r="I855" s="8"/>
      <c r="J855" s="9"/>
      <c r="K855" s="2"/>
      <c r="L855" s="2" t="s">
        <v>17</v>
      </c>
    </row>
    <row r="856" spans="1:12">
      <c r="A856" s="2" t="s">
        <v>4427</v>
      </c>
      <c r="B856" s="2" t="s">
        <v>4428</v>
      </c>
      <c r="C856" s="14" t="s">
        <v>4355</v>
      </c>
      <c r="D856" s="2" t="s">
        <v>15</v>
      </c>
      <c r="E856" s="2" t="s">
        <v>23</v>
      </c>
      <c r="F856" s="9">
        <v>46155</v>
      </c>
      <c r="G856" s="9">
        <v>46068</v>
      </c>
      <c r="H856" s="8">
        <v>199.98</v>
      </c>
      <c r="I856" s="8">
        <v>29.37</v>
      </c>
      <c r="J856" s="9">
        <v>46157</v>
      </c>
      <c r="K856" s="2" t="s">
        <v>4429</v>
      </c>
      <c r="L856" s="2" t="s">
        <v>17</v>
      </c>
    </row>
    <row r="857" spans="1:12">
      <c r="A857" s="2" t="s">
        <v>4430</v>
      </c>
      <c r="B857" s="2" t="s">
        <v>4431</v>
      </c>
      <c r="C857" s="14" t="s">
        <v>4355</v>
      </c>
      <c r="D857" s="2" t="s">
        <v>15</v>
      </c>
      <c r="E857" s="2" t="s">
        <v>58</v>
      </c>
      <c r="F857" s="9">
        <v>46155</v>
      </c>
      <c r="G857" s="9">
        <v>46068</v>
      </c>
      <c r="H857" s="8">
        <v>149.97999999999999</v>
      </c>
      <c r="I857" s="8">
        <v>22.02</v>
      </c>
      <c r="J857" s="9">
        <v>46160</v>
      </c>
      <c r="K857" s="2" t="s">
        <v>4432</v>
      </c>
      <c r="L857" s="2" t="s">
        <v>17</v>
      </c>
    </row>
    <row r="858" spans="1:12">
      <c r="A858" s="2" t="s">
        <v>4433</v>
      </c>
      <c r="B858" s="2" t="s">
        <v>4434</v>
      </c>
      <c r="C858" s="14" t="s">
        <v>4355</v>
      </c>
      <c r="D858" s="2" t="s">
        <v>15</v>
      </c>
      <c r="F858" s="9">
        <v>46170</v>
      </c>
      <c r="G858" s="9">
        <v>46068</v>
      </c>
      <c r="H858" s="8">
        <v>99.99</v>
      </c>
      <c r="I858" s="8"/>
      <c r="J858" s="9"/>
      <c r="K858" s="2"/>
      <c r="L858" s="2" t="s">
        <v>17</v>
      </c>
    </row>
    <row r="859" spans="1:12">
      <c r="A859" s="2" t="s">
        <v>4435</v>
      </c>
      <c r="B859" s="2" t="s">
        <v>4436</v>
      </c>
      <c r="C859" s="14" t="s">
        <v>4355</v>
      </c>
      <c r="D859" s="2" t="s">
        <v>15</v>
      </c>
      <c r="E859" s="2" t="s">
        <v>55</v>
      </c>
      <c r="F859" s="9">
        <v>46156</v>
      </c>
      <c r="G859" s="9">
        <v>46068</v>
      </c>
      <c r="H859" s="8">
        <v>139.97999999999999</v>
      </c>
      <c r="I859" s="8">
        <v>20.56</v>
      </c>
      <c r="J859" s="9">
        <v>46160</v>
      </c>
      <c r="K859" s="2" t="s">
        <v>4437</v>
      </c>
      <c r="L859" s="2" t="s">
        <v>17</v>
      </c>
    </row>
    <row r="860" spans="1:12">
      <c r="A860" s="2" t="s">
        <v>4438</v>
      </c>
      <c r="B860" s="2" t="s">
        <v>4439</v>
      </c>
      <c r="C860" s="14" t="s">
        <v>4355</v>
      </c>
      <c r="D860" s="2" t="s">
        <v>15</v>
      </c>
      <c r="E860" s="2" t="s">
        <v>58</v>
      </c>
      <c r="F860" s="9">
        <v>46156</v>
      </c>
      <c r="G860" s="9">
        <v>46068</v>
      </c>
      <c r="H860" s="8">
        <v>93.98</v>
      </c>
      <c r="I860" s="8">
        <v>13.81</v>
      </c>
      <c r="J860" s="9">
        <v>46160</v>
      </c>
      <c r="K860" s="2" t="s">
        <v>4440</v>
      </c>
      <c r="L860" s="2" t="s">
        <v>17</v>
      </c>
    </row>
    <row r="861" spans="1:12">
      <c r="A861" s="2" t="s">
        <v>628</v>
      </c>
      <c r="B861" s="2" t="s">
        <v>629</v>
      </c>
      <c r="C861" s="14" t="s">
        <v>4355</v>
      </c>
      <c r="D861" s="2" t="s">
        <v>15</v>
      </c>
      <c r="E861" s="2" t="s">
        <v>2633</v>
      </c>
      <c r="F861" s="9">
        <v>46156</v>
      </c>
      <c r="G861" s="9">
        <v>46068</v>
      </c>
      <c r="H861" s="8">
        <v>99.98</v>
      </c>
      <c r="I861" s="8">
        <v>29.73</v>
      </c>
      <c r="J861" s="9">
        <v>46161</v>
      </c>
      <c r="K861" s="2" t="s">
        <v>4441</v>
      </c>
      <c r="L861" s="2" t="s">
        <v>17</v>
      </c>
    </row>
    <row r="862" spans="1:12">
      <c r="A862" s="2" t="s">
        <v>589</v>
      </c>
      <c r="B862" s="2" t="s">
        <v>590</v>
      </c>
      <c r="C862" s="14" t="s">
        <v>4355</v>
      </c>
      <c r="D862" s="2" t="s">
        <v>15</v>
      </c>
      <c r="F862" s="9">
        <v>46170</v>
      </c>
      <c r="G862" s="9">
        <v>46068</v>
      </c>
      <c r="H862" s="8">
        <v>149.99</v>
      </c>
      <c r="I862" s="8"/>
      <c r="J862" s="9"/>
      <c r="K862" s="2"/>
      <c r="L862" s="2" t="s">
        <v>17</v>
      </c>
    </row>
    <row r="863" spans="1:12">
      <c r="A863" s="2" t="s">
        <v>2030</v>
      </c>
      <c r="B863" s="2" t="s">
        <v>2031</v>
      </c>
      <c r="C863" s="14" t="s">
        <v>4355</v>
      </c>
      <c r="D863" s="2" t="s">
        <v>15</v>
      </c>
      <c r="E863" s="2" t="s">
        <v>80</v>
      </c>
      <c r="F863" s="9">
        <v>46155</v>
      </c>
      <c r="G863" s="9">
        <v>46068</v>
      </c>
      <c r="H863" s="8">
        <v>130.99</v>
      </c>
      <c r="I863" s="8">
        <v>19.36</v>
      </c>
      <c r="J863" s="9">
        <v>46159</v>
      </c>
      <c r="K863" s="2" t="s">
        <v>4442</v>
      </c>
      <c r="L863" s="2" t="s">
        <v>17</v>
      </c>
    </row>
    <row r="864" spans="1:12">
      <c r="A864" s="2" t="s">
        <v>631</v>
      </c>
      <c r="B864" s="2" t="s">
        <v>632</v>
      </c>
      <c r="C864" s="14" t="s">
        <v>4355</v>
      </c>
      <c r="D864" s="2" t="s">
        <v>15</v>
      </c>
      <c r="E864" s="2" t="s">
        <v>80</v>
      </c>
      <c r="F864" s="9">
        <v>46155</v>
      </c>
      <c r="G864" s="9">
        <v>46068</v>
      </c>
      <c r="H864" s="8">
        <v>99.99</v>
      </c>
      <c r="I864" s="8">
        <v>28</v>
      </c>
      <c r="J864" s="9">
        <v>46160</v>
      </c>
      <c r="K864" s="2" t="s">
        <v>4443</v>
      </c>
      <c r="L864" s="2" t="s">
        <v>17</v>
      </c>
    </row>
    <row r="865" spans="1:12">
      <c r="A865" s="2" t="s">
        <v>4444</v>
      </c>
      <c r="B865" s="2" t="s">
        <v>4445</v>
      </c>
      <c r="C865" s="14" t="s">
        <v>4355</v>
      </c>
      <c r="D865" s="2" t="s">
        <v>15</v>
      </c>
      <c r="E865" s="2" t="s">
        <v>55</v>
      </c>
      <c r="F865" s="9">
        <v>46156</v>
      </c>
      <c r="G865" s="9">
        <v>46068</v>
      </c>
      <c r="H865" s="8">
        <v>154.01</v>
      </c>
      <c r="I865" s="8">
        <v>22.62</v>
      </c>
      <c r="J865" s="9">
        <v>46161</v>
      </c>
      <c r="K865" s="2" t="s">
        <v>4446</v>
      </c>
      <c r="L865" s="2" t="s">
        <v>17</v>
      </c>
    </row>
    <row r="866" spans="1:12">
      <c r="A866" s="2" t="s">
        <v>601</v>
      </c>
      <c r="B866" s="2" t="s">
        <v>602</v>
      </c>
      <c r="C866" s="14" t="s">
        <v>4355</v>
      </c>
      <c r="D866" s="2" t="s">
        <v>15</v>
      </c>
      <c r="F866" s="9">
        <v>46170</v>
      </c>
      <c r="G866" s="9">
        <v>46068</v>
      </c>
      <c r="H866" s="8">
        <v>99.99</v>
      </c>
      <c r="I866" s="8"/>
      <c r="J866" s="9"/>
      <c r="K866" s="2"/>
      <c r="L866" s="2" t="s">
        <v>17</v>
      </c>
    </row>
    <row r="867" spans="1:12">
      <c r="A867" s="2" t="s">
        <v>637</v>
      </c>
      <c r="B867" s="2" t="s">
        <v>638</v>
      </c>
      <c r="C867" s="14" t="s">
        <v>4355</v>
      </c>
      <c r="D867" s="2" t="s">
        <v>15</v>
      </c>
      <c r="E867" s="2" t="s">
        <v>23</v>
      </c>
      <c r="F867" s="9">
        <v>46155</v>
      </c>
      <c r="G867" s="9">
        <v>46068</v>
      </c>
      <c r="H867" s="8">
        <v>205.52</v>
      </c>
      <c r="I867" s="8">
        <v>59.29</v>
      </c>
      <c r="J867" s="9">
        <v>46158</v>
      </c>
      <c r="K867" s="2" t="s">
        <v>4447</v>
      </c>
      <c r="L867" s="2" t="s">
        <v>17</v>
      </c>
    </row>
    <row r="868" spans="1:12">
      <c r="A868" s="2" t="s">
        <v>658</v>
      </c>
      <c r="B868" s="2" t="s">
        <v>659</v>
      </c>
      <c r="C868" s="14" t="s">
        <v>4355</v>
      </c>
      <c r="D868" s="2" t="s">
        <v>15</v>
      </c>
      <c r="E868" s="2" t="s">
        <v>23</v>
      </c>
      <c r="F868" s="9">
        <v>46155</v>
      </c>
      <c r="G868" s="9">
        <v>46068</v>
      </c>
      <c r="H868" s="8">
        <v>2999</v>
      </c>
      <c r="I868" s="8">
        <v>470.13</v>
      </c>
      <c r="J868" s="9">
        <v>46157</v>
      </c>
      <c r="K868" s="2" t="s">
        <v>4448</v>
      </c>
      <c r="L868" s="2" t="s">
        <v>17</v>
      </c>
    </row>
    <row r="869" spans="1:12">
      <c r="A869" s="2" t="s">
        <v>539</v>
      </c>
      <c r="B869" s="2" t="s">
        <v>540</v>
      </c>
      <c r="C869" s="14" t="s">
        <v>4355</v>
      </c>
      <c r="D869" s="2" t="s">
        <v>15</v>
      </c>
      <c r="E869" s="2" t="s">
        <v>58</v>
      </c>
      <c r="F869" s="9">
        <v>46155</v>
      </c>
      <c r="G869" s="9">
        <v>46068</v>
      </c>
      <c r="H869" s="8">
        <v>280.07</v>
      </c>
      <c r="I869" s="8">
        <v>98.93</v>
      </c>
      <c r="J869" s="9">
        <v>46160</v>
      </c>
      <c r="K869" s="2" t="s">
        <v>4449</v>
      </c>
      <c r="L869" s="2" t="s">
        <v>17</v>
      </c>
    </row>
    <row r="870" spans="1:12">
      <c r="A870" s="2" t="s">
        <v>4450</v>
      </c>
      <c r="B870" s="2" t="s">
        <v>4451</v>
      </c>
      <c r="C870" s="14" t="s">
        <v>4355</v>
      </c>
      <c r="D870" s="2" t="s">
        <v>15</v>
      </c>
      <c r="F870" s="9">
        <v>46170</v>
      </c>
      <c r="G870" s="9">
        <v>46068</v>
      </c>
      <c r="H870" s="8">
        <v>105.05</v>
      </c>
      <c r="I870" s="8"/>
      <c r="J870" s="9"/>
      <c r="K870" s="2"/>
      <c r="L870" s="2" t="s">
        <v>17</v>
      </c>
    </row>
    <row r="871" spans="1:12">
      <c r="A871" s="2" t="s">
        <v>4452</v>
      </c>
      <c r="B871" s="2" t="s">
        <v>4453</v>
      </c>
      <c r="C871" s="14" t="s">
        <v>4355</v>
      </c>
      <c r="D871" s="2" t="s">
        <v>15</v>
      </c>
      <c r="E871" s="2" t="s">
        <v>23</v>
      </c>
      <c r="F871" s="9">
        <v>46156</v>
      </c>
      <c r="G871" s="9">
        <v>46068</v>
      </c>
      <c r="H871" s="8">
        <v>102.84</v>
      </c>
      <c r="I871" s="8">
        <v>20.76</v>
      </c>
      <c r="J871" s="9">
        <v>46161</v>
      </c>
      <c r="K871" s="2" t="s">
        <v>4454</v>
      </c>
      <c r="L871" s="2" t="s">
        <v>17</v>
      </c>
    </row>
    <row r="872" spans="1:12">
      <c r="A872" s="2" t="s">
        <v>4455</v>
      </c>
      <c r="B872" s="2" t="s">
        <v>4456</v>
      </c>
      <c r="C872" s="14" t="s">
        <v>4355</v>
      </c>
      <c r="D872" s="2" t="s">
        <v>15</v>
      </c>
      <c r="E872" s="2" t="s">
        <v>80</v>
      </c>
      <c r="F872" s="9">
        <v>46155</v>
      </c>
      <c r="G872" s="9">
        <v>46068</v>
      </c>
      <c r="H872" s="8">
        <v>153.6</v>
      </c>
      <c r="I872" s="8">
        <v>22.19</v>
      </c>
      <c r="J872" s="9">
        <v>46160</v>
      </c>
      <c r="K872" s="2" t="s">
        <v>4457</v>
      </c>
      <c r="L872" s="2" t="s">
        <v>17</v>
      </c>
    </row>
    <row r="873" spans="1:12">
      <c r="A873" s="2" t="s">
        <v>2982</v>
      </c>
      <c r="B873" s="2" t="s">
        <v>2983</v>
      </c>
      <c r="C873" s="14" t="s">
        <v>4355</v>
      </c>
      <c r="D873" s="2" t="s">
        <v>15</v>
      </c>
      <c r="E873" s="2" t="s">
        <v>2633</v>
      </c>
      <c r="F873" s="9">
        <v>46155</v>
      </c>
      <c r="G873" s="9">
        <v>46068</v>
      </c>
      <c r="H873" s="8">
        <v>103.49</v>
      </c>
      <c r="I873" s="8">
        <v>103.31</v>
      </c>
      <c r="J873" s="9">
        <v>46159</v>
      </c>
      <c r="K873" s="2" t="s">
        <v>4458</v>
      </c>
      <c r="L873" s="2" t="s">
        <v>17</v>
      </c>
    </row>
    <row r="874" spans="1:12">
      <c r="A874" s="2" t="s">
        <v>4459</v>
      </c>
      <c r="B874" s="2" t="s">
        <v>4460</v>
      </c>
      <c r="C874" s="14" t="s">
        <v>4355</v>
      </c>
      <c r="D874" s="2" t="s">
        <v>15</v>
      </c>
      <c r="E874" s="2" t="s">
        <v>23</v>
      </c>
      <c r="F874" s="9">
        <v>46156</v>
      </c>
      <c r="G874" s="9">
        <v>46068</v>
      </c>
      <c r="H874" s="8">
        <v>99.99</v>
      </c>
      <c r="I874" s="8">
        <v>29.25</v>
      </c>
      <c r="J874" s="9">
        <v>46161</v>
      </c>
      <c r="K874" s="2" t="s">
        <v>4461</v>
      </c>
      <c r="L874" s="2" t="s">
        <v>17</v>
      </c>
    </row>
    <row r="875" spans="1:12">
      <c r="A875" s="2" t="s">
        <v>4462</v>
      </c>
      <c r="B875" s="2" t="s">
        <v>4463</v>
      </c>
      <c r="C875" s="14" t="s">
        <v>4355</v>
      </c>
      <c r="D875" s="2" t="s">
        <v>15</v>
      </c>
      <c r="E875" s="2" t="s">
        <v>58</v>
      </c>
      <c r="F875" s="9">
        <v>46155</v>
      </c>
      <c r="G875" s="9">
        <v>46068</v>
      </c>
      <c r="H875" s="8">
        <v>1397.63</v>
      </c>
      <c r="I875" s="8">
        <v>693.12</v>
      </c>
      <c r="J875" s="9">
        <v>46160</v>
      </c>
      <c r="K875" s="2" t="s">
        <v>4464</v>
      </c>
      <c r="L875" s="2" t="s">
        <v>17</v>
      </c>
    </row>
    <row r="876" spans="1:12">
      <c r="A876" s="2" t="s">
        <v>3000</v>
      </c>
      <c r="B876" s="2" t="s">
        <v>3001</v>
      </c>
      <c r="C876" s="14" t="s">
        <v>4355</v>
      </c>
      <c r="D876" s="2" t="s">
        <v>15</v>
      </c>
      <c r="E876" s="2" t="s">
        <v>55</v>
      </c>
      <c r="F876" s="9">
        <v>46154</v>
      </c>
      <c r="G876" s="9">
        <v>46068</v>
      </c>
      <c r="H876" s="8">
        <v>1764.27</v>
      </c>
      <c r="I876" s="8">
        <v>1194.02</v>
      </c>
      <c r="J876" s="9">
        <v>46156</v>
      </c>
      <c r="K876" s="2" t="s">
        <v>4465</v>
      </c>
      <c r="L876" s="2" t="s">
        <v>17</v>
      </c>
    </row>
    <row r="877" spans="1:12">
      <c r="A877" s="2" t="s">
        <v>4466</v>
      </c>
      <c r="B877" s="2" t="s">
        <v>4467</v>
      </c>
      <c r="C877" s="14" t="s">
        <v>4355</v>
      </c>
      <c r="D877" s="2" t="s">
        <v>15</v>
      </c>
      <c r="E877" s="2" t="s">
        <v>23</v>
      </c>
      <c r="F877" s="9">
        <v>46156</v>
      </c>
      <c r="G877" s="9">
        <v>46068</v>
      </c>
      <c r="H877" s="8">
        <v>99.99</v>
      </c>
      <c r="I877" s="8">
        <v>20.98</v>
      </c>
      <c r="J877" s="9">
        <v>46161</v>
      </c>
      <c r="K877" s="2" t="s">
        <v>4468</v>
      </c>
      <c r="L877" s="2" t="s">
        <v>17</v>
      </c>
    </row>
    <row r="878" spans="1:12">
      <c r="A878" s="2" t="s">
        <v>4469</v>
      </c>
      <c r="B878" s="2" t="s">
        <v>4470</v>
      </c>
      <c r="C878" s="14" t="s">
        <v>4355</v>
      </c>
      <c r="D878" s="2" t="s">
        <v>15</v>
      </c>
      <c r="E878" s="2" t="s">
        <v>23</v>
      </c>
      <c r="F878" s="9">
        <v>46163</v>
      </c>
      <c r="G878" s="9">
        <v>46074</v>
      </c>
      <c r="H878" s="8">
        <v>398.28</v>
      </c>
      <c r="I878" s="8">
        <v>5.2</v>
      </c>
      <c r="J878" s="9">
        <v>46080</v>
      </c>
      <c r="K878" s="2" t="s">
        <v>4471</v>
      </c>
      <c r="L878" s="2" t="s">
        <v>17</v>
      </c>
    </row>
    <row r="879" spans="1:12">
      <c r="A879" s="14" t="s">
        <v>1084</v>
      </c>
      <c r="B879" s="2" t="s">
        <v>1085</v>
      </c>
      <c r="C879" s="14" t="s">
        <v>4355</v>
      </c>
      <c r="D879" s="2" t="s">
        <v>15</v>
      </c>
      <c r="E879" s="2" t="s">
        <v>55</v>
      </c>
      <c r="F879" s="9">
        <v>46162</v>
      </c>
      <c r="G879" s="9">
        <v>46073</v>
      </c>
      <c r="H879" s="8">
        <v>101.18</v>
      </c>
      <c r="I879" s="8">
        <v>29.43</v>
      </c>
      <c r="J879" s="9">
        <v>46167</v>
      </c>
      <c r="K879" s="2" t="s">
        <v>4472</v>
      </c>
      <c r="L879" s="2" t="s">
        <v>17</v>
      </c>
    </row>
    <row r="880" spans="1:12">
      <c r="A880" s="14" t="s">
        <v>4473</v>
      </c>
      <c r="B880" s="2" t="s">
        <v>4474</v>
      </c>
      <c r="C880" s="14" t="s">
        <v>4355</v>
      </c>
      <c r="D880" s="2" t="s">
        <v>15</v>
      </c>
      <c r="E880" s="2" t="s">
        <v>55</v>
      </c>
      <c r="F880" s="9">
        <v>46163</v>
      </c>
      <c r="G880" s="9">
        <v>46073</v>
      </c>
      <c r="H880" s="8">
        <v>53.99</v>
      </c>
      <c r="I880" s="8">
        <v>7.93</v>
      </c>
      <c r="J880" s="9">
        <v>46167</v>
      </c>
      <c r="K880" s="2" t="s">
        <v>4475</v>
      </c>
      <c r="L880" s="2" t="s">
        <v>17</v>
      </c>
    </row>
    <row r="881" spans="1:12">
      <c r="A881" s="14" t="s">
        <v>1034</v>
      </c>
      <c r="B881" s="2" t="s">
        <v>1035</v>
      </c>
      <c r="C881" s="14" t="s">
        <v>4355</v>
      </c>
      <c r="D881" s="2" t="s">
        <v>15</v>
      </c>
      <c r="E881" s="2" t="s">
        <v>23</v>
      </c>
      <c r="F881" s="9">
        <v>46162</v>
      </c>
      <c r="G881" s="9">
        <v>46073</v>
      </c>
      <c r="H881" s="8">
        <v>253.95</v>
      </c>
      <c r="I881" s="8">
        <v>269.68</v>
      </c>
      <c r="J881" s="9">
        <v>46167</v>
      </c>
      <c r="K881" s="2" t="s">
        <v>4476</v>
      </c>
      <c r="L881" s="2" t="s">
        <v>17</v>
      </c>
    </row>
    <row r="882" spans="1:12">
      <c r="A882" s="14" t="s">
        <v>1051</v>
      </c>
      <c r="B882" s="2" t="s">
        <v>1052</v>
      </c>
      <c r="C882" s="14" t="s">
        <v>4355</v>
      </c>
      <c r="D882" s="2" t="s">
        <v>15</v>
      </c>
      <c r="E882" s="2" t="s">
        <v>55</v>
      </c>
      <c r="F882" s="9">
        <v>46162</v>
      </c>
      <c r="G882" s="9">
        <v>46073</v>
      </c>
      <c r="H882" s="8">
        <v>149.99</v>
      </c>
      <c r="I882" s="8">
        <v>110.41</v>
      </c>
      <c r="J882" s="9">
        <v>46167</v>
      </c>
      <c r="K882" s="2" t="s">
        <v>4477</v>
      </c>
      <c r="L882" s="2" t="s">
        <v>17</v>
      </c>
    </row>
    <row r="883" spans="1:12">
      <c r="A883" s="14" t="s">
        <v>4478</v>
      </c>
      <c r="B883" s="2" t="s">
        <v>4479</v>
      </c>
      <c r="C883" s="14" t="s">
        <v>4355</v>
      </c>
      <c r="D883" s="2" t="s">
        <v>15</v>
      </c>
      <c r="E883" s="2" t="s">
        <v>55</v>
      </c>
      <c r="F883" s="9">
        <v>46161</v>
      </c>
      <c r="G883" s="9">
        <v>46073</v>
      </c>
      <c r="H883" s="8">
        <v>419.94</v>
      </c>
      <c r="I883" s="8">
        <v>88.89</v>
      </c>
      <c r="J883" s="9">
        <v>46167</v>
      </c>
      <c r="K883" s="2" t="s">
        <v>4480</v>
      </c>
      <c r="L883" s="2" t="s">
        <v>17</v>
      </c>
    </row>
    <row r="884" spans="1:12">
      <c r="A884" s="14" t="s">
        <v>4481</v>
      </c>
      <c r="B884" s="2" t="s">
        <v>4482</v>
      </c>
      <c r="C884" s="14" t="s">
        <v>4355</v>
      </c>
      <c r="D884" s="2" t="s">
        <v>15</v>
      </c>
      <c r="E884" s="2" t="s">
        <v>4483</v>
      </c>
      <c r="F884" s="9">
        <v>46163</v>
      </c>
      <c r="G884" s="9">
        <v>46073</v>
      </c>
      <c r="H884" s="8">
        <v>54.09</v>
      </c>
      <c r="I884" s="8">
        <v>10.220000000000001</v>
      </c>
      <c r="J884" s="9">
        <v>46167</v>
      </c>
      <c r="K884" s="2" t="s">
        <v>4484</v>
      </c>
      <c r="L884" s="2" t="s">
        <v>17</v>
      </c>
    </row>
    <row r="885" spans="1:12">
      <c r="A885" s="14" t="s">
        <v>4485</v>
      </c>
      <c r="B885" s="2" t="s">
        <v>4486</v>
      </c>
      <c r="C885" s="14" t="s">
        <v>4355</v>
      </c>
      <c r="D885" s="2" t="s">
        <v>15</v>
      </c>
      <c r="E885" s="2" t="s">
        <v>4263</v>
      </c>
      <c r="F885" s="9">
        <v>46163</v>
      </c>
      <c r="G885" s="9">
        <v>46073</v>
      </c>
      <c r="H885" s="8">
        <v>79.989999999999995</v>
      </c>
      <c r="I885" s="8">
        <v>13.43</v>
      </c>
      <c r="J885" s="9">
        <v>46167</v>
      </c>
      <c r="K885" s="2" t="s">
        <v>4487</v>
      </c>
      <c r="L885" s="2" t="s">
        <v>17</v>
      </c>
    </row>
    <row r="886" spans="1:12">
      <c r="A886" s="14" t="s">
        <v>1063</v>
      </c>
      <c r="B886" s="2" t="s">
        <v>1064</v>
      </c>
      <c r="C886" s="14" t="s">
        <v>4355</v>
      </c>
      <c r="D886" s="2" t="s">
        <v>15</v>
      </c>
      <c r="E886" s="2" t="s">
        <v>58</v>
      </c>
      <c r="F886" s="9">
        <v>46161</v>
      </c>
      <c r="G886" s="9">
        <v>46073</v>
      </c>
      <c r="H886" s="8">
        <v>148.91</v>
      </c>
      <c r="I886" s="8">
        <v>90.74</v>
      </c>
      <c r="J886" s="9">
        <v>46167</v>
      </c>
      <c r="K886" s="2" t="s">
        <v>4488</v>
      </c>
      <c r="L886" s="2" t="s">
        <v>17</v>
      </c>
    </row>
    <row r="887" spans="1:12">
      <c r="A887" s="14" t="s">
        <v>1066</v>
      </c>
      <c r="B887" s="2" t="s">
        <v>1067</v>
      </c>
      <c r="C887" s="14" t="s">
        <v>4355</v>
      </c>
      <c r="D887" s="2" t="s">
        <v>15</v>
      </c>
      <c r="E887" s="2" t="s">
        <v>55</v>
      </c>
      <c r="F887" s="9">
        <v>46162</v>
      </c>
      <c r="G887" s="9">
        <v>46073</v>
      </c>
      <c r="H887" s="8">
        <v>210.57</v>
      </c>
      <c r="I887" s="8">
        <v>87.88</v>
      </c>
      <c r="J887" s="9">
        <v>46167</v>
      </c>
      <c r="K887" s="2" t="s">
        <v>4489</v>
      </c>
      <c r="L887" s="2" t="s">
        <v>17</v>
      </c>
    </row>
    <row r="888" spans="1:12">
      <c r="A888" s="14" t="s">
        <v>1135</v>
      </c>
      <c r="B888" s="2" t="s">
        <v>1136</v>
      </c>
      <c r="C888" s="14" t="s">
        <v>4355</v>
      </c>
      <c r="D888" s="2" t="s">
        <v>15</v>
      </c>
      <c r="E888" s="2" t="s">
        <v>4216</v>
      </c>
      <c r="F888" s="9">
        <v>46164</v>
      </c>
      <c r="G888" s="9">
        <v>46078</v>
      </c>
      <c r="H888" s="8">
        <v>69.989999999999995</v>
      </c>
      <c r="I888" s="8">
        <v>20.46</v>
      </c>
      <c r="J888" s="9">
        <v>46169</v>
      </c>
      <c r="K888" s="2" t="s">
        <v>4490</v>
      </c>
      <c r="L888" s="2" t="s">
        <v>17</v>
      </c>
    </row>
    <row r="889" spans="1:12">
      <c r="A889" s="14" t="s">
        <v>4491</v>
      </c>
      <c r="B889" s="2" t="s">
        <v>4492</v>
      </c>
      <c r="C889" s="14" t="s">
        <v>4355</v>
      </c>
      <c r="D889" s="2" t="s">
        <v>15</v>
      </c>
      <c r="E889" s="2" t="s">
        <v>4216</v>
      </c>
      <c r="F889" s="9">
        <v>46164</v>
      </c>
      <c r="G889" s="9">
        <v>46078</v>
      </c>
      <c r="H889" s="8">
        <v>59.99</v>
      </c>
      <c r="I889" s="8">
        <v>12.9</v>
      </c>
      <c r="J889" s="9">
        <v>46169</v>
      </c>
      <c r="K889" s="2" t="s">
        <v>4493</v>
      </c>
      <c r="L889" s="2" t="s">
        <v>17</v>
      </c>
    </row>
    <row r="890" spans="1:12">
      <c r="A890" s="14" t="s">
        <v>4494</v>
      </c>
      <c r="B890" s="2" t="s">
        <v>4495</v>
      </c>
      <c r="C890" s="14" t="s">
        <v>4355</v>
      </c>
      <c r="D890" s="2" t="s">
        <v>15</v>
      </c>
      <c r="E890" s="2" t="s">
        <v>4100</v>
      </c>
      <c r="F890" s="9">
        <v>46163</v>
      </c>
      <c r="G890" s="9">
        <v>46078</v>
      </c>
      <c r="H890" s="8">
        <v>299.97000000000003</v>
      </c>
      <c r="I890" s="8">
        <v>43.22</v>
      </c>
      <c r="J890" s="9">
        <v>46168</v>
      </c>
      <c r="K890" s="2" t="s">
        <v>4496</v>
      </c>
      <c r="L890" s="2" t="s">
        <v>17</v>
      </c>
    </row>
    <row r="891" spans="1:12">
      <c r="A891" s="14" t="s">
        <v>4497</v>
      </c>
      <c r="B891" s="2" t="s">
        <v>4498</v>
      </c>
      <c r="C891" s="14" t="s">
        <v>4355</v>
      </c>
      <c r="D891" s="2" t="s">
        <v>15</v>
      </c>
      <c r="F891" s="9">
        <v>46168</v>
      </c>
      <c r="G891" s="9">
        <v>46078</v>
      </c>
      <c r="H891" s="8">
        <v>299.97000000000003</v>
      </c>
      <c r="I891" s="8">
        <v>78.25</v>
      </c>
      <c r="J891" s="9">
        <v>46172</v>
      </c>
      <c r="K891" s="2" t="s">
        <v>4499</v>
      </c>
      <c r="L891" s="2" t="s">
        <v>17</v>
      </c>
    </row>
    <row r="892" spans="1:12">
      <c r="A892" s="14" t="s">
        <v>4500</v>
      </c>
      <c r="B892" s="2" t="s">
        <v>4501</v>
      </c>
      <c r="C892" s="14" t="s">
        <v>4355</v>
      </c>
      <c r="D892" s="2" t="s">
        <v>15</v>
      </c>
      <c r="E892" s="2" t="s">
        <v>58</v>
      </c>
      <c r="F892" s="9">
        <v>46164</v>
      </c>
      <c r="G892" s="9">
        <v>46078</v>
      </c>
      <c r="H892" s="8">
        <v>209.97</v>
      </c>
      <c r="I892" s="8">
        <v>31.73</v>
      </c>
      <c r="J892" s="9">
        <v>46169</v>
      </c>
      <c r="K892" s="2" t="s">
        <v>4502</v>
      </c>
      <c r="L892" s="2" t="s">
        <v>17</v>
      </c>
    </row>
    <row r="893" spans="1:12">
      <c r="A893" s="14" t="s">
        <v>4503</v>
      </c>
      <c r="B893" s="2" t="s">
        <v>4504</v>
      </c>
      <c r="C893" s="14" t="s">
        <v>4355</v>
      </c>
      <c r="D893" s="2" t="s">
        <v>15</v>
      </c>
      <c r="E893" s="2" t="s">
        <v>20</v>
      </c>
      <c r="F893" s="9">
        <v>46164</v>
      </c>
      <c r="G893" s="9">
        <v>46078</v>
      </c>
      <c r="H893" s="8">
        <v>209.97</v>
      </c>
      <c r="I893" s="8">
        <v>76.64</v>
      </c>
      <c r="J893" s="9">
        <v>46169</v>
      </c>
      <c r="K893" s="2" t="s">
        <v>4505</v>
      </c>
      <c r="L893" s="2" t="s">
        <v>17</v>
      </c>
    </row>
    <row r="894" spans="1:12">
      <c r="A894" s="14" t="s">
        <v>4506</v>
      </c>
      <c r="B894" s="2" t="s">
        <v>4507</v>
      </c>
      <c r="C894" s="14" t="s">
        <v>4355</v>
      </c>
      <c r="D894" s="2" t="s">
        <v>15</v>
      </c>
      <c r="E894" s="2" t="s">
        <v>20</v>
      </c>
      <c r="F894" s="9">
        <v>46164</v>
      </c>
      <c r="G894" s="9">
        <v>46078</v>
      </c>
      <c r="H894" s="8">
        <v>209.97</v>
      </c>
      <c r="I894" s="8">
        <v>50</v>
      </c>
      <c r="J894" s="9">
        <v>46169</v>
      </c>
      <c r="K894" s="2" t="s">
        <v>4508</v>
      </c>
      <c r="L894" s="2" t="s">
        <v>17</v>
      </c>
    </row>
    <row r="895" spans="1:12">
      <c r="A895" s="14" t="s">
        <v>4509</v>
      </c>
      <c r="B895" s="2" t="s">
        <v>4510</v>
      </c>
      <c r="C895" s="14" t="s">
        <v>4355</v>
      </c>
      <c r="D895" s="2" t="s">
        <v>15</v>
      </c>
      <c r="E895" s="2" t="s">
        <v>20</v>
      </c>
      <c r="F895" s="9">
        <v>46164</v>
      </c>
      <c r="G895" s="9">
        <v>46078</v>
      </c>
      <c r="H895" s="8">
        <v>209.97</v>
      </c>
      <c r="I895" s="8">
        <v>33.08</v>
      </c>
      <c r="J895" s="9">
        <v>46169</v>
      </c>
      <c r="K895" s="2" t="s">
        <v>4511</v>
      </c>
      <c r="L895" s="2" t="s">
        <v>17</v>
      </c>
    </row>
    <row r="896" spans="1:12">
      <c r="A896" s="14" t="s">
        <v>4512</v>
      </c>
      <c r="B896" s="2" t="s">
        <v>4513</v>
      </c>
      <c r="C896" s="14" t="s">
        <v>4355</v>
      </c>
      <c r="D896" s="2" t="s">
        <v>15</v>
      </c>
      <c r="E896" s="2" t="s">
        <v>20</v>
      </c>
      <c r="F896" s="9">
        <v>46164</v>
      </c>
      <c r="G896" s="9">
        <v>46078</v>
      </c>
      <c r="H896" s="8">
        <v>209.97</v>
      </c>
      <c r="I896" s="8">
        <v>33.21</v>
      </c>
      <c r="J896" s="9">
        <v>46169</v>
      </c>
      <c r="K896" s="2" t="s">
        <v>4514</v>
      </c>
      <c r="L896" s="2" t="s">
        <v>17</v>
      </c>
    </row>
    <row r="897" spans="1:12">
      <c r="A897" s="14" t="s">
        <v>4515</v>
      </c>
      <c r="B897" s="2" t="s">
        <v>4516</v>
      </c>
      <c r="C897" s="14" t="s">
        <v>4355</v>
      </c>
      <c r="D897" s="2" t="s">
        <v>15</v>
      </c>
      <c r="E897" s="2" t="s">
        <v>20</v>
      </c>
      <c r="F897" s="9">
        <v>46164</v>
      </c>
      <c r="G897" s="9">
        <v>46078</v>
      </c>
      <c r="H897" s="8">
        <v>99.98</v>
      </c>
      <c r="I897" s="8">
        <v>15.42</v>
      </c>
      <c r="J897" s="9">
        <v>46169</v>
      </c>
      <c r="K897" s="2" t="s">
        <v>4517</v>
      </c>
      <c r="L897" s="2" t="s">
        <v>17</v>
      </c>
    </row>
    <row r="898" spans="1:12">
      <c r="A898" s="14" t="s">
        <v>4518</v>
      </c>
      <c r="B898" s="2" t="s">
        <v>4519</v>
      </c>
      <c r="C898" s="14" t="s">
        <v>4355</v>
      </c>
      <c r="D898" s="2" t="s">
        <v>15</v>
      </c>
      <c r="E898" s="2" t="s">
        <v>23</v>
      </c>
      <c r="F898" s="9">
        <v>46163</v>
      </c>
      <c r="G898" s="9">
        <v>46078</v>
      </c>
      <c r="H898" s="8">
        <v>209.97</v>
      </c>
      <c r="I898" s="8">
        <v>31.57</v>
      </c>
      <c r="J898" s="9">
        <v>46166</v>
      </c>
      <c r="K898" s="2" t="s">
        <v>4520</v>
      </c>
      <c r="L898" s="2" t="s">
        <v>17</v>
      </c>
    </row>
    <row r="899" spans="1:12">
      <c r="A899" s="14" t="s">
        <v>4521</v>
      </c>
      <c r="B899" s="2" t="s">
        <v>4522</v>
      </c>
      <c r="C899" s="14" t="s">
        <v>4355</v>
      </c>
      <c r="D899" s="2" t="s">
        <v>15</v>
      </c>
      <c r="E899" s="2" t="s">
        <v>23</v>
      </c>
      <c r="F899" s="9">
        <v>46163</v>
      </c>
      <c r="G899" s="9">
        <v>46078</v>
      </c>
      <c r="H899" s="8">
        <v>299.97000000000003</v>
      </c>
      <c r="I899" s="8">
        <v>45.55</v>
      </c>
      <c r="J899" s="9">
        <v>46168</v>
      </c>
      <c r="K899" s="2" t="s">
        <v>4523</v>
      </c>
      <c r="L899" s="2" t="s">
        <v>17</v>
      </c>
    </row>
    <row r="900" spans="1:12">
      <c r="A900" s="14" t="s">
        <v>4524</v>
      </c>
      <c r="B900" s="2" t="s">
        <v>4525</v>
      </c>
      <c r="C900" s="14" t="s">
        <v>4355</v>
      </c>
      <c r="D900" s="2" t="s">
        <v>15</v>
      </c>
      <c r="E900" s="2" t="s">
        <v>80</v>
      </c>
      <c r="F900" s="9">
        <v>46164</v>
      </c>
      <c r="G900" s="9">
        <v>46078</v>
      </c>
      <c r="H900" s="8">
        <v>299.97000000000003</v>
      </c>
      <c r="I900" s="8">
        <v>22.97</v>
      </c>
      <c r="J900" s="9">
        <v>46169</v>
      </c>
      <c r="K900" s="2" t="s">
        <v>4526</v>
      </c>
      <c r="L900" s="2" t="s">
        <v>17</v>
      </c>
    </row>
    <row r="901" spans="1:12">
      <c r="A901" s="14" t="s">
        <v>4527</v>
      </c>
      <c r="B901" s="2" t="s">
        <v>4528</v>
      </c>
      <c r="C901" s="14" t="s">
        <v>4355</v>
      </c>
      <c r="D901" s="2" t="s">
        <v>15</v>
      </c>
      <c r="E901" s="2" t="s">
        <v>20</v>
      </c>
      <c r="F901" s="9">
        <v>46164</v>
      </c>
      <c r="G901" s="9">
        <v>46078</v>
      </c>
      <c r="H901" s="8">
        <v>119.98</v>
      </c>
      <c r="I901" s="8">
        <v>18.28</v>
      </c>
      <c r="J901" s="9">
        <v>46169</v>
      </c>
      <c r="K901" s="2" t="s">
        <v>4529</v>
      </c>
      <c r="L901" s="2" t="s">
        <v>17</v>
      </c>
    </row>
    <row r="902" spans="1:12">
      <c r="A902" s="14" t="s">
        <v>1138</v>
      </c>
      <c r="B902" s="2" t="s">
        <v>1139</v>
      </c>
      <c r="C902" s="14" t="s">
        <v>4355</v>
      </c>
      <c r="D902" s="2" t="s">
        <v>15</v>
      </c>
      <c r="E902" s="2" t="s">
        <v>20</v>
      </c>
      <c r="F902" s="9">
        <v>46164</v>
      </c>
      <c r="G902" s="9">
        <v>46078</v>
      </c>
      <c r="H902" s="8">
        <v>150.97999999999999</v>
      </c>
      <c r="I902" s="8">
        <v>44.13</v>
      </c>
      <c r="J902" s="9">
        <v>46169</v>
      </c>
      <c r="K902" s="2" t="s">
        <v>4530</v>
      </c>
      <c r="L902" s="2" t="s">
        <v>17</v>
      </c>
    </row>
    <row r="903" spans="1:12">
      <c r="A903" s="14" t="s">
        <v>3484</v>
      </c>
      <c r="B903" s="2" t="s">
        <v>3485</v>
      </c>
      <c r="C903" s="14" t="s">
        <v>4355</v>
      </c>
      <c r="D903" s="2" t="s">
        <v>15</v>
      </c>
      <c r="E903" s="2" t="s">
        <v>20</v>
      </c>
      <c r="F903" s="9">
        <v>46164</v>
      </c>
      <c r="G903" s="9">
        <v>46078</v>
      </c>
      <c r="H903" s="8">
        <v>183.58</v>
      </c>
      <c r="I903" s="8">
        <v>85.07</v>
      </c>
      <c r="J903" s="9">
        <v>46169</v>
      </c>
      <c r="K903" s="2" t="s">
        <v>4531</v>
      </c>
      <c r="L903" s="2" t="s">
        <v>17</v>
      </c>
    </row>
    <row r="904" spans="1:12">
      <c r="A904" s="14" t="s">
        <v>1150</v>
      </c>
      <c r="B904" s="2" t="s">
        <v>1151</v>
      </c>
      <c r="C904" s="14" t="s">
        <v>4355</v>
      </c>
      <c r="D904" s="2" t="s">
        <v>15</v>
      </c>
      <c r="E904" s="2" t="s">
        <v>20</v>
      </c>
      <c r="F904" s="9">
        <v>46164</v>
      </c>
      <c r="G904" s="9">
        <v>46078</v>
      </c>
      <c r="H904" s="8">
        <v>181</v>
      </c>
      <c r="I904" s="8">
        <v>53.85</v>
      </c>
      <c r="J904" s="9">
        <v>46169</v>
      </c>
      <c r="K904" s="2" t="s">
        <v>4532</v>
      </c>
      <c r="L904" s="2" t="s">
        <v>17</v>
      </c>
    </row>
    <row r="905" spans="1:12">
      <c r="A905" s="14" t="s">
        <v>4533</v>
      </c>
      <c r="B905" s="2" t="s">
        <v>4534</v>
      </c>
      <c r="C905" s="14" t="s">
        <v>4355</v>
      </c>
      <c r="D905" s="2" t="s">
        <v>15</v>
      </c>
      <c r="E905" s="2" t="s">
        <v>20</v>
      </c>
      <c r="F905" s="9">
        <v>46164</v>
      </c>
      <c r="G905" s="9">
        <v>46078</v>
      </c>
      <c r="H905" s="8">
        <v>124.16</v>
      </c>
      <c r="I905" s="8">
        <v>18.59</v>
      </c>
      <c r="J905" s="9">
        <v>46169</v>
      </c>
      <c r="K905" s="2" t="s">
        <v>4535</v>
      </c>
      <c r="L905" s="2" t="s">
        <v>17</v>
      </c>
    </row>
    <row r="906" spans="1:12">
      <c r="A906" s="14" t="s">
        <v>4536</v>
      </c>
      <c r="B906" s="2" t="s">
        <v>4537</v>
      </c>
      <c r="C906" s="14" t="s">
        <v>4355</v>
      </c>
      <c r="D906" s="2" t="s">
        <v>15</v>
      </c>
      <c r="E906" s="2" t="s">
        <v>4330</v>
      </c>
      <c r="F906" s="9">
        <v>46164</v>
      </c>
      <c r="G906" s="9">
        <v>46078</v>
      </c>
      <c r="H906" s="8">
        <v>61.56</v>
      </c>
      <c r="I906" s="8">
        <v>42.54</v>
      </c>
      <c r="J906" s="9">
        <v>46168</v>
      </c>
      <c r="K906" s="2" t="s">
        <v>4538</v>
      </c>
      <c r="L906" s="2" t="s">
        <v>17</v>
      </c>
    </row>
    <row r="907" spans="1:12">
      <c r="A907" s="14" t="s">
        <v>4539</v>
      </c>
      <c r="B907" s="2" t="s">
        <v>4540</v>
      </c>
      <c r="C907" s="14" t="s">
        <v>4355</v>
      </c>
      <c r="D907" s="2" t="s">
        <v>15</v>
      </c>
      <c r="E907" s="2" t="s">
        <v>20</v>
      </c>
      <c r="F907" s="9">
        <v>46168</v>
      </c>
      <c r="G907" s="9">
        <v>46088</v>
      </c>
      <c r="H907" s="8">
        <v>175.22</v>
      </c>
      <c r="I907" s="8">
        <v>26.04</v>
      </c>
      <c r="J907" s="9">
        <v>46172</v>
      </c>
      <c r="K907" s="2" t="s">
        <v>4541</v>
      </c>
      <c r="L907" s="2" t="s">
        <v>17</v>
      </c>
    </row>
    <row r="908" spans="1:12">
      <c r="A908" s="14" t="s">
        <v>1998</v>
      </c>
      <c r="B908" s="2" t="s">
        <v>1999</v>
      </c>
      <c r="C908" s="14" t="s">
        <v>4355</v>
      </c>
      <c r="D908" s="2" t="s">
        <v>15</v>
      </c>
      <c r="E908" s="2" t="s">
        <v>20</v>
      </c>
      <c r="F908" s="9">
        <v>46168</v>
      </c>
      <c r="G908" s="9">
        <v>46088</v>
      </c>
      <c r="H908" s="8">
        <v>79.989999999999995</v>
      </c>
      <c r="I908" s="8">
        <v>15.61</v>
      </c>
      <c r="J908" s="9">
        <v>46172</v>
      </c>
      <c r="K908" s="2" t="s">
        <v>4542</v>
      </c>
      <c r="L908" s="2" t="s">
        <v>17</v>
      </c>
    </row>
    <row r="909" spans="1:12">
      <c r="A909" s="14" t="s">
        <v>2000</v>
      </c>
      <c r="B909" s="2" t="s">
        <v>2001</v>
      </c>
      <c r="C909" s="14" t="s">
        <v>4355</v>
      </c>
      <c r="D909" s="2" t="s">
        <v>15</v>
      </c>
      <c r="E909" s="2" t="s">
        <v>20</v>
      </c>
      <c r="F909" s="9">
        <v>46168</v>
      </c>
      <c r="G909" s="9">
        <v>46088</v>
      </c>
      <c r="H909" s="8">
        <v>89.99</v>
      </c>
      <c r="I909" s="8">
        <v>26.57</v>
      </c>
      <c r="J909" s="9">
        <v>46172</v>
      </c>
      <c r="K909" s="2" t="s">
        <v>4543</v>
      </c>
      <c r="L909" s="2" t="s">
        <v>17</v>
      </c>
    </row>
    <row r="910" spans="1:12">
      <c r="A910" s="14" t="s">
        <v>4544</v>
      </c>
      <c r="B910" s="2" t="s">
        <v>4545</v>
      </c>
      <c r="C910" s="14" t="s">
        <v>4355</v>
      </c>
      <c r="D910" s="2" t="s">
        <v>15</v>
      </c>
      <c r="E910" s="2" t="s">
        <v>20</v>
      </c>
      <c r="F910" s="9">
        <v>46168</v>
      </c>
      <c r="G910" s="9">
        <v>46088</v>
      </c>
      <c r="H910" s="8">
        <v>69.989999999999995</v>
      </c>
      <c r="I910" s="8">
        <v>17.97</v>
      </c>
      <c r="J910" s="9">
        <v>46172</v>
      </c>
      <c r="K910" s="2" t="s">
        <v>4546</v>
      </c>
      <c r="L910" s="2" t="s">
        <v>17</v>
      </c>
    </row>
    <row r="911" spans="1:12">
      <c r="A911" s="14" t="s">
        <v>1223</v>
      </c>
      <c r="B911" s="2" t="s">
        <v>1224</v>
      </c>
      <c r="C911" s="14" t="s">
        <v>4355</v>
      </c>
      <c r="D911" s="2" t="s">
        <v>15</v>
      </c>
      <c r="E911" s="2" t="s">
        <v>20</v>
      </c>
      <c r="F911" s="9">
        <v>46168</v>
      </c>
      <c r="G911" s="9">
        <v>46088</v>
      </c>
      <c r="H911" s="8">
        <v>399.96</v>
      </c>
      <c r="I911" s="8">
        <v>148.43</v>
      </c>
      <c r="J911" s="9">
        <v>46172</v>
      </c>
      <c r="K911" s="2" t="s">
        <v>4547</v>
      </c>
      <c r="L911" s="2" t="s">
        <v>17</v>
      </c>
    </row>
    <row r="912" spans="1:12">
      <c r="A912" s="14" t="s">
        <v>1311</v>
      </c>
      <c r="B912" s="2" t="s">
        <v>1312</v>
      </c>
      <c r="C912" s="14" t="s">
        <v>4355</v>
      </c>
      <c r="D912" s="2" t="s">
        <v>15</v>
      </c>
      <c r="E912" s="2" t="s">
        <v>20</v>
      </c>
      <c r="F912" s="9">
        <v>46168</v>
      </c>
      <c r="G912" s="9">
        <v>46088</v>
      </c>
      <c r="H912" s="8">
        <v>90.49</v>
      </c>
      <c r="I912" s="8">
        <v>26.59</v>
      </c>
      <c r="J912" s="9">
        <v>46172</v>
      </c>
      <c r="K912" s="2" t="s">
        <v>4548</v>
      </c>
      <c r="L912" s="2" t="s">
        <v>17</v>
      </c>
    </row>
    <row r="913" spans="1:12">
      <c r="A913" s="14" t="s">
        <v>4549</v>
      </c>
      <c r="B913" s="2" t="s">
        <v>4550</v>
      </c>
      <c r="C913" s="14" t="s">
        <v>4355</v>
      </c>
      <c r="D913" s="2" t="s">
        <v>15</v>
      </c>
      <c r="E913" s="2" t="s">
        <v>20</v>
      </c>
      <c r="F913" s="9">
        <v>46168</v>
      </c>
      <c r="G913" s="9">
        <v>46088</v>
      </c>
      <c r="H913" s="8">
        <v>99.98</v>
      </c>
      <c r="I913" s="8">
        <v>60.42</v>
      </c>
      <c r="J913" s="9">
        <v>46172</v>
      </c>
      <c r="K913" s="2" t="s">
        <v>4551</v>
      </c>
      <c r="L913" s="2" t="s">
        <v>17</v>
      </c>
    </row>
    <row r="914" spans="1:12">
      <c r="A914" s="14" t="s">
        <v>1350</v>
      </c>
      <c r="B914" s="2" t="s">
        <v>1351</v>
      </c>
      <c r="C914" s="14" t="s">
        <v>4355</v>
      </c>
      <c r="D914" s="2" t="s">
        <v>15</v>
      </c>
      <c r="E914" s="2" t="s">
        <v>20</v>
      </c>
      <c r="F914" s="9">
        <v>46168</v>
      </c>
      <c r="G914" s="9">
        <v>46088</v>
      </c>
      <c r="H914" s="8">
        <v>84.64</v>
      </c>
      <c r="I914" s="8">
        <v>27.19</v>
      </c>
      <c r="J914" s="9">
        <v>46172</v>
      </c>
      <c r="K914" s="2" t="s">
        <v>4552</v>
      </c>
      <c r="L914" s="2" t="s">
        <v>17</v>
      </c>
    </row>
    <row r="915" spans="1:12">
      <c r="A915" s="14" t="s">
        <v>1235</v>
      </c>
      <c r="B915" s="2" t="s">
        <v>1236</v>
      </c>
      <c r="C915" s="14" t="s">
        <v>4355</v>
      </c>
      <c r="D915" s="2" t="s">
        <v>15</v>
      </c>
      <c r="E915" s="2" t="s">
        <v>20</v>
      </c>
      <c r="F915" s="9">
        <v>46168</v>
      </c>
      <c r="G915" s="9">
        <v>46088</v>
      </c>
      <c r="H915" s="8">
        <v>3075.23</v>
      </c>
      <c r="I915" s="8">
        <v>901.54</v>
      </c>
      <c r="J915" s="9">
        <v>46172</v>
      </c>
      <c r="K915" s="2" t="s">
        <v>4553</v>
      </c>
      <c r="L915" s="2" t="s">
        <v>17</v>
      </c>
    </row>
    <row r="916" spans="1:12">
      <c r="A916" s="14" t="s">
        <v>4497</v>
      </c>
      <c r="B916" s="2" t="s">
        <v>4498</v>
      </c>
      <c r="C916" s="14" t="s">
        <v>4355</v>
      </c>
      <c r="D916" s="2" t="s">
        <v>15</v>
      </c>
      <c r="E916" s="2" t="s">
        <v>80</v>
      </c>
      <c r="F916" s="9">
        <v>46167</v>
      </c>
      <c r="G916" s="9">
        <v>46078</v>
      </c>
      <c r="H916" s="8">
        <v>299.97000000000003</v>
      </c>
      <c r="I916" s="8">
        <v>78.25</v>
      </c>
      <c r="J916" s="9">
        <v>46170</v>
      </c>
      <c r="K916" s="2" t="s">
        <v>4554</v>
      </c>
      <c r="L916" s="2" t="s">
        <v>17</v>
      </c>
    </row>
    <row r="917" spans="1:12">
      <c r="A917" s="14" t="s">
        <v>4555</v>
      </c>
      <c r="B917" s="2" t="s">
        <v>4556</v>
      </c>
      <c r="C917" s="2" t="s">
        <v>14</v>
      </c>
      <c r="D917" s="2" t="s">
        <v>15</v>
      </c>
      <c r="E917" s="2" t="s">
        <v>4557</v>
      </c>
      <c r="F917" s="9">
        <v>46170</v>
      </c>
      <c r="G917" s="9">
        <v>46127</v>
      </c>
      <c r="H917" s="8">
        <v>55.74</v>
      </c>
      <c r="I917" s="8">
        <v>38.159999999999997</v>
      </c>
      <c r="J917" s="9" t="s">
        <v>4558</v>
      </c>
      <c r="K917" s="2" t="s">
        <v>4559</v>
      </c>
      <c r="L917" s="2" t="s">
        <v>17</v>
      </c>
    </row>
    <row r="918" spans="1:12">
      <c r="A918" s="14" t="s">
        <v>2262</v>
      </c>
      <c r="B918" s="2" t="s">
        <v>2263</v>
      </c>
      <c r="C918" s="2" t="s">
        <v>14</v>
      </c>
      <c r="D918" s="2" t="s">
        <v>15</v>
      </c>
      <c r="E918" s="2" t="s">
        <v>20</v>
      </c>
      <c r="F918" s="9">
        <v>46171</v>
      </c>
      <c r="G918" s="9">
        <v>46127</v>
      </c>
      <c r="H918" s="8">
        <v>109.99</v>
      </c>
      <c r="I918" s="8">
        <v>22.79</v>
      </c>
      <c r="J918" s="9">
        <v>46173</v>
      </c>
      <c r="K918" s="2" t="s">
        <v>4560</v>
      </c>
      <c r="L918" s="2" t="s">
        <v>17</v>
      </c>
    </row>
    <row r="919" spans="1:12">
      <c r="A919" s="14" t="s">
        <v>3897</v>
      </c>
      <c r="B919" s="2" t="s">
        <v>3898</v>
      </c>
      <c r="C919" s="2" t="s">
        <v>14</v>
      </c>
      <c r="D919" s="2" t="s">
        <v>15</v>
      </c>
      <c r="E919" s="2" t="s">
        <v>20</v>
      </c>
      <c r="F919" s="9">
        <v>46170</v>
      </c>
      <c r="G919" s="9">
        <v>46127</v>
      </c>
      <c r="H919" s="8">
        <v>114.26</v>
      </c>
      <c r="I919" s="8">
        <v>45.08</v>
      </c>
      <c r="J919" s="9">
        <v>46173</v>
      </c>
      <c r="K919" s="2" t="s">
        <v>4561</v>
      </c>
      <c r="L919" s="2" t="s">
        <v>17</v>
      </c>
    </row>
    <row r="920" spans="1:12">
      <c r="A920" s="14" t="s">
        <v>4562</v>
      </c>
      <c r="B920" s="2" t="s">
        <v>4563</v>
      </c>
      <c r="C920" s="2" t="s">
        <v>14</v>
      </c>
      <c r="D920" s="2" t="s">
        <v>15</v>
      </c>
      <c r="E920" s="2" t="s">
        <v>4564</v>
      </c>
      <c r="F920" s="9">
        <v>46169</v>
      </c>
      <c r="G920" s="9">
        <v>46127</v>
      </c>
      <c r="H920" s="8">
        <v>99.86</v>
      </c>
      <c r="I920" s="8">
        <v>41.37</v>
      </c>
      <c r="J920" s="9">
        <v>46173</v>
      </c>
      <c r="K920" s="2" t="s">
        <v>4565</v>
      </c>
      <c r="L920" s="2" t="s">
        <v>17</v>
      </c>
    </row>
    <row r="921" spans="1:12">
      <c r="A921" s="14" t="s">
        <v>4566</v>
      </c>
      <c r="B921" s="2" t="s">
        <v>4567</v>
      </c>
      <c r="C921" s="2" t="s">
        <v>14</v>
      </c>
      <c r="D921" s="2" t="s">
        <v>15</v>
      </c>
      <c r="E921" s="2" t="s">
        <v>187</v>
      </c>
      <c r="F921" s="9">
        <v>46170</v>
      </c>
      <c r="G921" s="9">
        <v>46127</v>
      </c>
      <c r="H921" s="8">
        <v>85.86</v>
      </c>
      <c r="I921" s="8">
        <v>42.6</v>
      </c>
      <c r="J921" s="9">
        <v>46175</v>
      </c>
      <c r="K921" s="2" t="s">
        <v>4568</v>
      </c>
      <c r="L921" s="2" t="s">
        <v>17</v>
      </c>
    </row>
    <row r="922" spans="1:12">
      <c r="A922" s="14" t="s">
        <v>3893</v>
      </c>
      <c r="B922" s="2" t="s">
        <v>3894</v>
      </c>
      <c r="C922" s="2" t="s">
        <v>14</v>
      </c>
      <c r="D922" s="2" t="s">
        <v>15</v>
      </c>
      <c r="E922" s="2" t="s">
        <v>4569</v>
      </c>
      <c r="F922" s="9">
        <v>46170</v>
      </c>
      <c r="G922" s="9">
        <v>46127</v>
      </c>
      <c r="H922" s="8">
        <v>141.71</v>
      </c>
      <c r="I922" s="8">
        <v>61.03</v>
      </c>
      <c r="J922" s="9">
        <v>46173</v>
      </c>
      <c r="K922" s="2" t="s">
        <v>4570</v>
      </c>
      <c r="L922" s="2" t="s">
        <v>17</v>
      </c>
    </row>
    <row r="923" spans="1:12">
      <c r="A923" s="14" t="s">
        <v>2250</v>
      </c>
      <c r="B923" s="2" t="s">
        <v>2251</v>
      </c>
      <c r="C923" s="2" t="s">
        <v>14</v>
      </c>
      <c r="D923" s="2" t="s">
        <v>15</v>
      </c>
      <c r="E923" s="2" t="s">
        <v>4571</v>
      </c>
      <c r="F923" s="9">
        <v>46169</v>
      </c>
      <c r="G923" s="9">
        <v>46127</v>
      </c>
      <c r="H923" s="8">
        <v>83.62</v>
      </c>
      <c r="I923" s="8">
        <v>35.72</v>
      </c>
      <c r="J923" s="9">
        <v>46174</v>
      </c>
      <c r="K923" s="2" t="s">
        <v>4572</v>
      </c>
      <c r="L923" s="2" t="s">
        <v>17</v>
      </c>
    </row>
    <row r="924" spans="1:12">
      <c r="A924" s="14" t="s">
        <v>4573</v>
      </c>
      <c r="B924" s="2" t="s">
        <v>4574</v>
      </c>
      <c r="C924" s="2" t="s">
        <v>14</v>
      </c>
      <c r="D924" s="2" t="s">
        <v>15</v>
      </c>
      <c r="E924" s="2" t="s">
        <v>80</v>
      </c>
      <c r="F924" s="9">
        <v>46169</v>
      </c>
      <c r="G924" s="9">
        <v>46127</v>
      </c>
      <c r="H924" s="8">
        <v>46.43</v>
      </c>
      <c r="I924" s="8">
        <v>9.6</v>
      </c>
      <c r="J924" s="9">
        <v>46170</v>
      </c>
      <c r="K924" s="2" t="s">
        <v>4575</v>
      </c>
      <c r="L924" s="2" t="s">
        <v>17</v>
      </c>
    </row>
    <row r="925" spans="1:12">
      <c r="A925" s="14" t="s">
        <v>3066</v>
      </c>
      <c r="B925" s="2" t="s">
        <v>3067</v>
      </c>
      <c r="C925" s="2" t="s">
        <v>14</v>
      </c>
      <c r="D925" s="2" t="s">
        <v>15</v>
      </c>
      <c r="E925" s="2" t="s">
        <v>20</v>
      </c>
      <c r="F925" s="9">
        <v>46169</v>
      </c>
      <c r="G925" s="9">
        <v>46127</v>
      </c>
      <c r="H925" s="8">
        <v>129.99</v>
      </c>
      <c r="I925" s="8">
        <v>42.93</v>
      </c>
      <c r="J925" s="9">
        <v>46173</v>
      </c>
      <c r="K925" s="2" t="s">
        <v>4576</v>
      </c>
      <c r="L925" s="2" t="s">
        <v>17</v>
      </c>
    </row>
    <row r="926" spans="1:12">
      <c r="A926" s="14" t="s">
        <v>2185</v>
      </c>
      <c r="B926" s="2" t="s">
        <v>2186</v>
      </c>
      <c r="C926" s="2" t="s">
        <v>14</v>
      </c>
      <c r="D926" s="2" t="s">
        <v>15</v>
      </c>
      <c r="E926" s="2" t="s">
        <v>55</v>
      </c>
      <c r="F926" s="9">
        <v>46170</v>
      </c>
      <c r="G926" s="9">
        <v>46127</v>
      </c>
      <c r="H926" s="8">
        <v>109.75</v>
      </c>
      <c r="I926" s="8">
        <v>32.99</v>
      </c>
      <c r="J926" s="9">
        <v>46170</v>
      </c>
      <c r="K926" s="2" t="s">
        <v>4577</v>
      </c>
      <c r="L926" s="2" t="s">
        <v>17</v>
      </c>
    </row>
    <row r="927" spans="1:12">
      <c r="A927" s="14" t="s">
        <v>3026</v>
      </c>
      <c r="B927" s="2" t="s">
        <v>3027</v>
      </c>
      <c r="C927" s="2" t="s">
        <v>14</v>
      </c>
      <c r="D927" s="2" t="s">
        <v>15</v>
      </c>
      <c r="E927" s="2" t="s">
        <v>23</v>
      </c>
      <c r="F927" s="9">
        <v>46168</v>
      </c>
      <c r="G927" s="9">
        <v>46127</v>
      </c>
      <c r="H927" s="8">
        <v>99.91</v>
      </c>
      <c r="I927" s="8">
        <v>29.3</v>
      </c>
      <c r="J927" s="9">
        <v>46170</v>
      </c>
      <c r="K927" s="2" t="s">
        <v>4578</v>
      </c>
      <c r="L927" s="2" t="s">
        <v>17</v>
      </c>
    </row>
    <row r="928" spans="1:12">
      <c r="A928" s="14" t="s">
        <v>720</v>
      </c>
      <c r="B928" s="2" t="s">
        <v>721</v>
      </c>
      <c r="C928" s="2" t="s">
        <v>14</v>
      </c>
      <c r="D928" s="2" t="s">
        <v>15</v>
      </c>
      <c r="E928" s="2" t="s">
        <v>16</v>
      </c>
      <c r="F928" s="9">
        <v>46168</v>
      </c>
      <c r="G928" s="9">
        <v>46127</v>
      </c>
      <c r="H928" s="8">
        <v>3.96</v>
      </c>
      <c r="I928" s="8"/>
      <c r="J928" s="9">
        <v>46173</v>
      </c>
      <c r="K928" s="2"/>
      <c r="L928" s="2" t="s">
        <v>17</v>
      </c>
    </row>
    <row r="929" spans="1:12">
      <c r="A929" s="14" t="s">
        <v>4579</v>
      </c>
      <c r="B929" s="2" t="s">
        <v>4580</v>
      </c>
      <c r="C929" s="2" t="s">
        <v>14</v>
      </c>
      <c r="D929" s="2" t="s">
        <v>15</v>
      </c>
      <c r="E929" s="2" t="s">
        <v>80</v>
      </c>
      <c r="F929" s="9">
        <v>46168</v>
      </c>
      <c r="G929" s="9">
        <v>46127</v>
      </c>
      <c r="H929" s="8">
        <v>109.99</v>
      </c>
      <c r="I929" s="8">
        <v>45.83</v>
      </c>
      <c r="J929" s="9">
        <v>46170</v>
      </c>
      <c r="K929" s="2" t="s">
        <v>4581</v>
      </c>
      <c r="L929" s="2" t="s">
        <v>17</v>
      </c>
    </row>
    <row r="930" spans="1:12">
      <c r="A930" s="14" t="s">
        <v>3105</v>
      </c>
      <c r="B930" s="2" t="s">
        <v>3106</v>
      </c>
      <c r="C930" s="2" t="s">
        <v>14</v>
      </c>
      <c r="D930" s="2" t="s">
        <v>15</v>
      </c>
      <c r="E930" s="2" t="s">
        <v>4582</v>
      </c>
      <c r="F930" s="9">
        <v>46169</v>
      </c>
      <c r="G930" s="9">
        <v>46127</v>
      </c>
      <c r="H930" s="8">
        <v>120.39</v>
      </c>
      <c r="I930" s="8">
        <v>49.81</v>
      </c>
      <c r="J930" s="9">
        <v>46172</v>
      </c>
      <c r="K930" s="2" t="s">
        <v>4583</v>
      </c>
      <c r="L930" s="2" t="s">
        <v>17</v>
      </c>
    </row>
    <row r="931" spans="1:12">
      <c r="A931" s="14" t="s">
        <v>3165</v>
      </c>
      <c r="B931" s="2" t="s">
        <v>3166</v>
      </c>
      <c r="C931" s="2" t="s">
        <v>14</v>
      </c>
      <c r="D931" s="2" t="s">
        <v>15</v>
      </c>
      <c r="E931" s="2" t="s">
        <v>20</v>
      </c>
      <c r="F931" s="9">
        <v>46170</v>
      </c>
      <c r="G931" s="9">
        <v>46127</v>
      </c>
      <c r="H931" s="8">
        <v>100.09</v>
      </c>
      <c r="I931" s="8">
        <v>34.590000000000003</v>
      </c>
      <c r="J931" s="9">
        <v>46173</v>
      </c>
      <c r="K931" s="2" t="s">
        <v>4584</v>
      </c>
      <c r="L931" s="2" t="s">
        <v>17</v>
      </c>
    </row>
    <row r="932" spans="1:12">
      <c r="A932" s="14" t="s">
        <v>3023</v>
      </c>
      <c r="B932" s="2" t="s">
        <v>3024</v>
      </c>
      <c r="C932" s="2" t="s">
        <v>14</v>
      </c>
      <c r="D932" s="2" t="s">
        <v>15</v>
      </c>
      <c r="E932" s="2" t="s">
        <v>55</v>
      </c>
      <c r="F932" s="9">
        <v>46170</v>
      </c>
      <c r="G932" s="9">
        <v>46127</v>
      </c>
      <c r="H932" s="8">
        <v>99.99</v>
      </c>
      <c r="I932" s="8">
        <v>33.04</v>
      </c>
      <c r="J932" s="9">
        <v>46170</v>
      </c>
      <c r="K932" s="2" t="s">
        <v>4585</v>
      </c>
      <c r="L932" s="2" t="s">
        <v>17</v>
      </c>
    </row>
    <row r="933" spans="1:12">
      <c r="A933" s="14" t="s">
        <v>679</v>
      </c>
      <c r="B933" s="2" t="s">
        <v>680</v>
      </c>
      <c r="C933" s="2" t="s">
        <v>14</v>
      </c>
      <c r="D933" s="2" t="s">
        <v>15</v>
      </c>
      <c r="E933" s="2" t="s">
        <v>4586</v>
      </c>
      <c r="F933" s="9">
        <v>46168</v>
      </c>
      <c r="G933" s="9">
        <v>46127</v>
      </c>
      <c r="H933" s="8">
        <v>110.13</v>
      </c>
      <c r="I933" s="8">
        <v>22.03</v>
      </c>
      <c r="J933" s="9">
        <v>46171</v>
      </c>
      <c r="K933" s="2" t="s">
        <v>4587</v>
      </c>
      <c r="L933" s="2" t="s">
        <v>17</v>
      </c>
    </row>
    <row r="934" spans="1:12">
      <c r="A934" s="14" t="s">
        <v>2225</v>
      </c>
      <c r="B934" s="2" t="s">
        <v>2226</v>
      </c>
      <c r="C934" s="2" t="s">
        <v>14</v>
      </c>
      <c r="D934" s="2" t="s">
        <v>15</v>
      </c>
      <c r="E934" s="2" t="s">
        <v>55</v>
      </c>
      <c r="F934" s="9">
        <v>46170</v>
      </c>
      <c r="G934" s="9">
        <v>46127</v>
      </c>
      <c r="H934" s="8">
        <v>65.040000000000006</v>
      </c>
      <c r="I934" s="8">
        <v>40.08</v>
      </c>
      <c r="J934" s="9">
        <v>46174</v>
      </c>
      <c r="K934" s="2" t="s">
        <v>4588</v>
      </c>
      <c r="L934" s="2" t="s">
        <v>17</v>
      </c>
    </row>
    <row r="935" spans="1:12">
      <c r="A935" s="14" t="s">
        <v>769</v>
      </c>
      <c r="B935" s="2" t="s">
        <v>770</v>
      </c>
      <c r="C935" s="2" t="s">
        <v>14</v>
      </c>
      <c r="D935" s="2" t="s">
        <v>15</v>
      </c>
      <c r="E935" s="2" t="s">
        <v>20</v>
      </c>
      <c r="F935" s="9">
        <v>46168</v>
      </c>
      <c r="G935" s="9">
        <v>46127</v>
      </c>
      <c r="H935" s="8">
        <v>115.73</v>
      </c>
      <c r="I935" s="8">
        <v>48.49</v>
      </c>
      <c r="J935" s="9">
        <v>46172</v>
      </c>
      <c r="K935" s="2" t="s">
        <v>4589</v>
      </c>
      <c r="L935" s="2" t="s">
        <v>17</v>
      </c>
    </row>
    <row r="936" spans="1:12">
      <c r="A936" s="14" t="s">
        <v>3859</v>
      </c>
      <c r="B936" s="2" t="s">
        <v>3860</v>
      </c>
      <c r="C936" s="2" t="s">
        <v>14</v>
      </c>
      <c r="D936" s="2" t="s">
        <v>15</v>
      </c>
      <c r="E936" s="2" t="s">
        <v>4590</v>
      </c>
      <c r="F936" s="9">
        <v>46168</v>
      </c>
      <c r="G936" s="9">
        <v>46127</v>
      </c>
      <c r="H936" s="8">
        <v>109.44</v>
      </c>
      <c r="I936" s="8">
        <v>47.67</v>
      </c>
      <c r="J936" s="9">
        <v>46170</v>
      </c>
      <c r="K936" s="2" t="s">
        <v>4591</v>
      </c>
      <c r="L936" s="2" t="s">
        <v>17</v>
      </c>
    </row>
    <row r="937" spans="1:12">
      <c r="A937" s="14" t="s">
        <v>2182</v>
      </c>
      <c r="B937" s="2" t="s">
        <v>2183</v>
      </c>
      <c r="C937" s="2" t="s">
        <v>14</v>
      </c>
      <c r="D937" s="2" t="s">
        <v>15</v>
      </c>
      <c r="E937" s="2" t="s">
        <v>352</v>
      </c>
      <c r="F937" s="9">
        <v>46168</v>
      </c>
      <c r="G937" s="9">
        <v>46127</v>
      </c>
      <c r="H937" s="8">
        <v>90.39</v>
      </c>
      <c r="I937" s="8">
        <v>41.2</v>
      </c>
      <c r="J937" s="9">
        <v>46170</v>
      </c>
      <c r="K937" s="2" t="s">
        <v>4592</v>
      </c>
      <c r="L937" s="2" t="s">
        <v>17</v>
      </c>
    </row>
    <row r="938" spans="1:12">
      <c r="A938" s="14" t="s">
        <v>4593</v>
      </c>
      <c r="B938" s="2" t="s">
        <v>4594</v>
      </c>
      <c r="C938" s="2" t="s">
        <v>14</v>
      </c>
      <c r="D938" s="2" t="s">
        <v>15</v>
      </c>
      <c r="E938" s="2" t="s">
        <v>4582</v>
      </c>
      <c r="F938" s="9">
        <v>46170</v>
      </c>
      <c r="G938" s="9">
        <v>46127</v>
      </c>
      <c r="H938" s="8">
        <v>109.41</v>
      </c>
      <c r="I938" s="8">
        <v>77.86</v>
      </c>
      <c r="J938" s="9">
        <v>46175</v>
      </c>
      <c r="K938" s="2" t="s">
        <v>4595</v>
      </c>
      <c r="L938" s="2" t="s">
        <v>17</v>
      </c>
    </row>
    <row r="939" spans="1:12">
      <c r="A939" s="14" t="s">
        <v>4596</v>
      </c>
      <c r="B939" s="2" t="s">
        <v>4597</v>
      </c>
      <c r="C939" s="2" t="s">
        <v>14</v>
      </c>
      <c r="D939" s="2" t="s">
        <v>15</v>
      </c>
      <c r="E939" s="2" t="s">
        <v>4598</v>
      </c>
      <c r="F939" s="9">
        <v>46169</v>
      </c>
      <c r="G939" s="9">
        <v>46127</v>
      </c>
      <c r="H939" s="8">
        <v>86.46</v>
      </c>
      <c r="I939" s="8">
        <v>40.39</v>
      </c>
      <c r="J939" s="9">
        <v>46171</v>
      </c>
      <c r="K939" s="2" t="s">
        <v>4599</v>
      </c>
      <c r="L939" s="2" t="s">
        <v>17</v>
      </c>
    </row>
    <row r="940" spans="1:12">
      <c r="A940" s="14" t="s">
        <v>752</v>
      </c>
      <c r="B940" s="2" t="s">
        <v>753</v>
      </c>
      <c r="C940" s="2" t="s">
        <v>14</v>
      </c>
      <c r="D940" s="2" t="s">
        <v>15</v>
      </c>
      <c r="E940" s="2" t="s">
        <v>4600</v>
      </c>
      <c r="F940" s="9">
        <v>46168</v>
      </c>
      <c r="G940" s="9">
        <v>46127</v>
      </c>
      <c r="H940" s="8">
        <v>45.02</v>
      </c>
      <c r="I940" s="8">
        <v>9.02</v>
      </c>
      <c r="J940" s="9">
        <v>46173</v>
      </c>
      <c r="K940" s="2" t="s">
        <v>4601</v>
      </c>
      <c r="L940" s="2" t="s">
        <v>17</v>
      </c>
    </row>
    <row r="941" spans="1:12">
      <c r="A941" s="14" t="s">
        <v>3907</v>
      </c>
      <c r="B941" s="2" t="s">
        <v>3908</v>
      </c>
      <c r="C941" s="2" t="s">
        <v>14</v>
      </c>
      <c r="D941" s="2" t="s">
        <v>15</v>
      </c>
      <c r="E941" s="2" t="s">
        <v>4602</v>
      </c>
      <c r="F941" s="9">
        <v>46168</v>
      </c>
      <c r="G941" s="9">
        <v>46127</v>
      </c>
      <c r="H941" s="8">
        <v>109.57</v>
      </c>
      <c r="I941" s="8">
        <v>32.36</v>
      </c>
      <c r="J941" s="9">
        <v>46173</v>
      </c>
      <c r="K941" s="2" t="s">
        <v>4603</v>
      </c>
      <c r="L941" s="2" t="s">
        <v>17</v>
      </c>
    </row>
    <row r="942" spans="1:12">
      <c r="A942" s="14" t="s">
        <v>787</v>
      </c>
      <c r="B942" s="2" t="s">
        <v>788</v>
      </c>
      <c r="C942" s="2" t="s">
        <v>14</v>
      </c>
      <c r="D942" s="2" t="s">
        <v>15</v>
      </c>
      <c r="E942" s="2" t="s">
        <v>16</v>
      </c>
      <c r="F942" s="9">
        <v>46168</v>
      </c>
      <c r="G942" s="9">
        <v>46127</v>
      </c>
      <c r="H942" s="8">
        <v>7.89</v>
      </c>
      <c r="I942" s="8"/>
      <c r="J942" s="9">
        <v>46173</v>
      </c>
      <c r="K942" s="2"/>
      <c r="L942" s="2" t="s">
        <v>17</v>
      </c>
    </row>
    <row r="943" spans="1:12">
      <c r="A943" s="14" t="s">
        <v>3863</v>
      </c>
      <c r="B943" s="2" t="s">
        <v>3864</v>
      </c>
      <c r="C943" s="2" t="s">
        <v>14</v>
      </c>
      <c r="D943" s="2" t="s">
        <v>15</v>
      </c>
      <c r="E943" s="2" t="s">
        <v>55</v>
      </c>
      <c r="F943" s="9">
        <v>46170</v>
      </c>
      <c r="G943" s="9">
        <v>46127</v>
      </c>
      <c r="H943" s="8">
        <v>109.79</v>
      </c>
      <c r="I943" s="8">
        <v>44.41</v>
      </c>
      <c r="J943" s="9">
        <v>46170</v>
      </c>
      <c r="K943" s="2" t="s">
        <v>4604</v>
      </c>
      <c r="L943" s="2" t="s">
        <v>17</v>
      </c>
    </row>
    <row r="944" spans="1:12">
      <c r="A944" s="14" t="s">
        <v>4605</v>
      </c>
      <c r="B944" s="2" t="s">
        <v>4606</v>
      </c>
      <c r="C944" s="2" t="s">
        <v>14</v>
      </c>
      <c r="D944" s="2" t="s">
        <v>15</v>
      </c>
      <c r="E944" s="2" t="s">
        <v>4607</v>
      </c>
      <c r="F944" s="9">
        <v>46170</v>
      </c>
      <c r="G944" s="9">
        <v>46127</v>
      </c>
      <c r="H944" s="8">
        <v>102.21</v>
      </c>
      <c r="I944" s="8">
        <v>42.07</v>
      </c>
      <c r="J944" s="9">
        <v>46174</v>
      </c>
      <c r="K944" s="2" t="s">
        <v>4608</v>
      </c>
      <c r="L944" s="2" t="s">
        <v>17</v>
      </c>
    </row>
    <row r="945" spans="1:12">
      <c r="A945" s="14" t="s">
        <v>4609</v>
      </c>
      <c r="B945" s="2" t="s">
        <v>4610</v>
      </c>
      <c r="C945" s="2" t="s">
        <v>14</v>
      </c>
      <c r="D945" s="2" t="s">
        <v>15</v>
      </c>
      <c r="E945" s="2" t="s">
        <v>4100</v>
      </c>
      <c r="F945" s="9">
        <v>46170</v>
      </c>
      <c r="G945" s="9">
        <v>46127</v>
      </c>
      <c r="H945" s="8">
        <v>110.52</v>
      </c>
      <c r="I945" s="8">
        <v>45.37</v>
      </c>
      <c r="J945" s="9">
        <v>46170</v>
      </c>
      <c r="K945" s="2" t="s">
        <v>4611</v>
      </c>
      <c r="L945" s="2" t="s">
        <v>17</v>
      </c>
    </row>
    <row r="946" spans="1:12">
      <c r="A946" s="14" t="s">
        <v>2189</v>
      </c>
      <c r="B946" s="2" t="s">
        <v>2190</v>
      </c>
      <c r="C946" s="2" t="s">
        <v>14</v>
      </c>
      <c r="D946" s="2" t="s">
        <v>15</v>
      </c>
      <c r="E946" s="2" t="s">
        <v>55</v>
      </c>
      <c r="F946" s="9">
        <v>46168</v>
      </c>
      <c r="G946" s="9">
        <v>46127</v>
      </c>
      <c r="H946" s="8">
        <v>55.03</v>
      </c>
      <c r="I946" s="8">
        <v>30</v>
      </c>
      <c r="J946" s="9">
        <v>46170</v>
      </c>
      <c r="K946" s="2" t="s">
        <v>4612</v>
      </c>
      <c r="L946" s="2" t="s">
        <v>17</v>
      </c>
    </row>
    <row r="947" spans="1:12">
      <c r="A947" s="14" t="s">
        <v>3910</v>
      </c>
      <c r="B947" s="2" t="s">
        <v>3911</v>
      </c>
      <c r="C947" s="2" t="s">
        <v>14</v>
      </c>
      <c r="D947" s="2" t="s">
        <v>15</v>
      </c>
      <c r="E947" s="2" t="s">
        <v>4569</v>
      </c>
      <c r="F947" s="9">
        <v>46168</v>
      </c>
      <c r="G947" s="9">
        <v>46127</v>
      </c>
      <c r="H947" s="8">
        <v>87.69</v>
      </c>
      <c r="I947" s="8">
        <v>41.21</v>
      </c>
      <c r="J947" s="9">
        <v>46173</v>
      </c>
      <c r="K947" s="2" t="s">
        <v>4613</v>
      </c>
      <c r="L947" s="2" t="s">
        <v>17</v>
      </c>
    </row>
    <row r="948" spans="1:12">
      <c r="A948" s="14" t="s">
        <v>2232</v>
      </c>
      <c r="B948" s="2" t="s">
        <v>2233</v>
      </c>
      <c r="C948" s="2" t="s">
        <v>14</v>
      </c>
      <c r="D948" s="2" t="s">
        <v>15</v>
      </c>
      <c r="E948" s="2" t="s">
        <v>20</v>
      </c>
      <c r="F948" s="9">
        <v>46171</v>
      </c>
      <c r="G948" s="9">
        <v>46127</v>
      </c>
      <c r="H948" s="8">
        <v>106.09</v>
      </c>
      <c r="I948" s="8">
        <v>22.25</v>
      </c>
      <c r="J948" s="9">
        <v>46173</v>
      </c>
      <c r="K948" s="2" t="s">
        <v>4614</v>
      </c>
      <c r="L948" s="2" t="s">
        <v>17</v>
      </c>
    </row>
    <row r="949" spans="1:12">
      <c r="A949" s="14" t="s">
        <v>711</v>
      </c>
      <c r="B949" s="2" t="s">
        <v>712</v>
      </c>
      <c r="C949" s="2" t="s">
        <v>14</v>
      </c>
      <c r="D949" s="2" t="s">
        <v>15</v>
      </c>
      <c r="E949" s="2" t="s">
        <v>20</v>
      </c>
      <c r="F949" s="9">
        <v>46168</v>
      </c>
      <c r="G949" s="9">
        <v>46127</v>
      </c>
      <c r="H949" s="8">
        <v>119.93</v>
      </c>
      <c r="I949" s="8">
        <v>51.52</v>
      </c>
      <c r="J949" s="9">
        <v>46173</v>
      </c>
      <c r="K949" s="2" t="s">
        <v>4615</v>
      </c>
      <c r="L949" s="2" t="s">
        <v>17</v>
      </c>
    </row>
    <row r="950" spans="1:12">
      <c r="A950" s="14" t="s">
        <v>2197</v>
      </c>
      <c r="B950" s="2" t="s">
        <v>2198</v>
      </c>
      <c r="C950" s="2" t="s">
        <v>14</v>
      </c>
      <c r="D950" s="2" t="s">
        <v>15</v>
      </c>
      <c r="E950" s="2" t="s">
        <v>55</v>
      </c>
      <c r="F950" s="9">
        <v>46169</v>
      </c>
      <c r="G950" s="9">
        <v>46127</v>
      </c>
      <c r="H950" s="8">
        <v>45.53</v>
      </c>
      <c r="I950" s="8">
        <v>30</v>
      </c>
      <c r="J950" s="9">
        <v>46174</v>
      </c>
      <c r="K950" s="2" t="s">
        <v>4616</v>
      </c>
      <c r="L950" s="2" t="s">
        <v>17</v>
      </c>
    </row>
    <row r="951" spans="1:12">
      <c r="A951" s="14" t="s">
        <v>3174</v>
      </c>
      <c r="B951" s="2" t="s">
        <v>3175</v>
      </c>
      <c r="C951" s="2" t="s">
        <v>14</v>
      </c>
      <c r="D951" s="2" t="s">
        <v>15</v>
      </c>
      <c r="E951" s="2" t="s">
        <v>58</v>
      </c>
      <c r="F951" s="9">
        <v>46168</v>
      </c>
      <c r="G951" s="9">
        <v>46127</v>
      </c>
      <c r="H951" s="8">
        <v>99.99</v>
      </c>
      <c r="I951" s="8">
        <v>34.700000000000003</v>
      </c>
      <c r="J951" s="9">
        <v>46170</v>
      </c>
      <c r="K951" s="2" t="s">
        <v>4617</v>
      </c>
      <c r="L951" s="2" t="s">
        <v>17</v>
      </c>
    </row>
    <row r="952" spans="1:12">
      <c r="A952" s="14" t="s">
        <v>3383</v>
      </c>
      <c r="B952" s="2" t="s">
        <v>3384</v>
      </c>
      <c r="C952" s="2" t="s">
        <v>14</v>
      </c>
      <c r="D952" s="2" t="s">
        <v>15</v>
      </c>
      <c r="E952" s="2" t="s">
        <v>55</v>
      </c>
      <c r="F952" s="9">
        <v>46168</v>
      </c>
      <c r="G952" s="9">
        <v>46127</v>
      </c>
      <c r="H952" s="8">
        <v>99.99</v>
      </c>
      <c r="I952" s="8">
        <v>34.340000000000003</v>
      </c>
      <c r="J952" s="9">
        <v>46170</v>
      </c>
      <c r="K952" s="2" t="s">
        <v>4618</v>
      </c>
      <c r="L952" s="2" t="s">
        <v>17</v>
      </c>
    </row>
    <row r="953" spans="1:12">
      <c r="A953" s="14" t="s">
        <v>4619</v>
      </c>
      <c r="B953" s="2" t="s">
        <v>4620</v>
      </c>
      <c r="C953" s="2" t="s">
        <v>14</v>
      </c>
      <c r="D953" s="2" t="s">
        <v>15</v>
      </c>
      <c r="E953" s="2" t="s">
        <v>55</v>
      </c>
      <c r="F953" s="9">
        <v>46170</v>
      </c>
      <c r="G953" s="9">
        <v>46127</v>
      </c>
      <c r="H953" s="8">
        <v>109.99</v>
      </c>
      <c r="I953" s="8">
        <v>45.76</v>
      </c>
      <c r="J953" s="9">
        <v>46174</v>
      </c>
      <c r="K953" s="2" t="s">
        <v>4621</v>
      </c>
      <c r="L953" s="2" t="s">
        <v>17</v>
      </c>
    </row>
    <row r="954" spans="1:12">
      <c r="A954" s="14" t="s">
        <v>4622</v>
      </c>
      <c r="B954" s="2" t="s">
        <v>4623</v>
      </c>
      <c r="C954" s="2" t="s">
        <v>14</v>
      </c>
      <c r="D954" s="2" t="s">
        <v>15</v>
      </c>
      <c r="E954" s="2" t="s">
        <v>20</v>
      </c>
      <c r="F954" s="9">
        <v>46171</v>
      </c>
      <c r="G954" s="9">
        <v>46127</v>
      </c>
      <c r="H954" s="8">
        <v>102.65</v>
      </c>
      <c r="I954" s="8">
        <v>20.87</v>
      </c>
      <c r="J954" s="9">
        <v>46173</v>
      </c>
      <c r="K954" s="2" t="s">
        <v>4624</v>
      </c>
      <c r="L954" s="2" t="s">
        <v>17</v>
      </c>
    </row>
    <row r="955" spans="1:12">
      <c r="A955" s="14" t="s">
        <v>820</v>
      </c>
      <c r="B955" s="2" t="s">
        <v>821</v>
      </c>
      <c r="C955" s="2" t="s">
        <v>14</v>
      </c>
      <c r="D955" s="2" t="s">
        <v>15</v>
      </c>
      <c r="E955" s="2" t="s">
        <v>16</v>
      </c>
      <c r="F955" s="9">
        <v>46168</v>
      </c>
      <c r="G955" s="9">
        <v>46127</v>
      </c>
      <c r="H955" s="8">
        <v>38.840000000000003</v>
      </c>
      <c r="I955" s="8"/>
      <c r="J955" s="9">
        <v>46173</v>
      </c>
      <c r="K955" s="2"/>
      <c r="L955" s="2" t="s">
        <v>17</v>
      </c>
    </row>
    <row r="956" spans="1:12">
      <c r="A956" s="14" t="s">
        <v>812</v>
      </c>
      <c r="B956" s="2" t="s">
        <v>813</v>
      </c>
      <c r="C956" s="2" t="s">
        <v>14</v>
      </c>
      <c r="D956" s="2" t="s">
        <v>15</v>
      </c>
      <c r="E956" s="2" t="s">
        <v>20</v>
      </c>
      <c r="F956" s="9">
        <v>46168</v>
      </c>
      <c r="G956" s="9">
        <v>46127</v>
      </c>
      <c r="H956" s="8">
        <v>111.79</v>
      </c>
      <c r="I956" s="8">
        <v>35.380000000000003</v>
      </c>
      <c r="J956" s="9">
        <v>46173</v>
      </c>
      <c r="K956" s="2" t="s">
        <v>4625</v>
      </c>
      <c r="L956" s="2" t="s">
        <v>17</v>
      </c>
    </row>
    <row r="957" spans="1:12">
      <c r="A957" s="14" t="s">
        <v>817</v>
      </c>
      <c r="B957" s="2" t="s">
        <v>818</v>
      </c>
      <c r="C957" s="2" t="s">
        <v>14</v>
      </c>
      <c r="D957" s="2" t="s">
        <v>15</v>
      </c>
      <c r="E957" s="2" t="s">
        <v>2851</v>
      </c>
      <c r="F957" s="9">
        <v>46168</v>
      </c>
      <c r="G957" s="9">
        <v>46127</v>
      </c>
      <c r="H957" s="8">
        <v>59.99</v>
      </c>
      <c r="I957" s="8">
        <v>12.78</v>
      </c>
      <c r="J957" s="9">
        <v>46171</v>
      </c>
      <c r="K957" s="2" t="s">
        <v>4626</v>
      </c>
      <c r="L957" s="2" t="s">
        <v>17</v>
      </c>
    </row>
    <row r="958" spans="1:12">
      <c r="A958" s="14" t="s">
        <v>826</v>
      </c>
      <c r="B958" s="2" t="s">
        <v>827</v>
      </c>
      <c r="C958" s="2" t="s">
        <v>14</v>
      </c>
      <c r="D958" s="2" t="s">
        <v>15</v>
      </c>
      <c r="E958" s="2" t="s">
        <v>16</v>
      </c>
      <c r="F958" s="9">
        <v>46168</v>
      </c>
      <c r="G958" s="9">
        <v>46127</v>
      </c>
      <c r="H958" s="8">
        <v>18.62</v>
      </c>
      <c r="I958" s="8"/>
      <c r="J958" s="9">
        <v>46173</v>
      </c>
      <c r="K958" s="2"/>
      <c r="L958" s="2" t="s">
        <v>17</v>
      </c>
    </row>
    <row r="959" spans="1:12">
      <c r="A959" s="14" t="s">
        <v>2298</v>
      </c>
      <c r="B959" s="2" t="s">
        <v>2299</v>
      </c>
      <c r="C959" s="2" t="s">
        <v>14</v>
      </c>
      <c r="D959" s="2" t="s">
        <v>15</v>
      </c>
      <c r="E959" s="2" t="s">
        <v>55</v>
      </c>
      <c r="F959" s="9">
        <v>46169</v>
      </c>
      <c r="G959" s="9">
        <v>46127</v>
      </c>
      <c r="H959" s="8">
        <v>109.99</v>
      </c>
      <c r="I959" s="8">
        <v>45.27</v>
      </c>
      <c r="J959" s="9">
        <v>46170</v>
      </c>
      <c r="K959" s="2" t="s">
        <v>4627</v>
      </c>
      <c r="L959" s="2" t="s">
        <v>17</v>
      </c>
    </row>
    <row r="960" spans="1:12">
      <c r="A960" s="14" t="s">
        <v>3918</v>
      </c>
      <c r="B960" s="2" t="s">
        <v>3919</v>
      </c>
      <c r="C960" s="2" t="s">
        <v>14</v>
      </c>
      <c r="D960" s="2" t="s">
        <v>15</v>
      </c>
      <c r="E960" s="2" t="s">
        <v>4628</v>
      </c>
      <c r="F960" s="9">
        <v>46168</v>
      </c>
      <c r="G960" s="9">
        <v>46127</v>
      </c>
      <c r="H960" s="8">
        <v>109.99</v>
      </c>
      <c r="I960" s="8">
        <v>42.38</v>
      </c>
      <c r="J960" s="9">
        <v>46171</v>
      </c>
      <c r="K960" s="2" t="s">
        <v>4629</v>
      </c>
      <c r="L960" s="2" t="s">
        <v>17</v>
      </c>
    </row>
    <row r="961" spans="1:12">
      <c r="A961" s="14" t="s">
        <v>2301</v>
      </c>
      <c r="B961" s="2" t="s">
        <v>2302</v>
      </c>
      <c r="C961" s="2" t="s">
        <v>14</v>
      </c>
      <c r="D961" s="2" t="s">
        <v>15</v>
      </c>
      <c r="E961" s="2" t="s">
        <v>4100</v>
      </c>
      <c r="F961" s="9">
        <v>46168</v>
      </c>
      <c r="G961" s="9">
        <v>46127</v>
      </c>
      <c r="H961" s="8">
        <v>109.99</v>
      </c>
      <c r="I961" s="8">
        <v>45.26</v>
      </c>
      <c r="J961" s="9">
        <v>46171</v>
      </c>
      <c r="K961" s="2" t="s">
        <v>4630</v>
      </c>
      <c r="L961" s="2" t="s">
        <v>17</v>
      </c>
    </row>
    <row r="962" spans="1:12">
      <c r="A962" s="14" t="s">
        <v>4631</v>
      </c>
      <c r="B962" s="2" t="s">
        <v>4632</v>
      </c>
      <c r="C962" s="2" t="s">
        <v>14</v>
      </c>
      <c r="D962" s="2" t="s">
        <v>15</v>
      </c>
      <c r="E962" s="2" t="s">
        <v>55</v>
      </c>
      <c r="F962" s="9">
        <v>46170</v>
      </c>
      <c r="G962" s="9">
        <v>46127</v>
      </c>
      <c r="H962" s="8">
        <v>65.040000000000006</v>
      </c>
      <c r="I962" s="8">
        <v>40.08</v>
      </c>
      <c r="J962" s="9">
        <v>46173</v>
      </c>
      <c r="K962" s="2" t="s">
        <v>4633</v>
      </c>
      <c r="L962" s="2" t="s">
        <v>17</v>
      </c>
    </row>
    <row r="963" spans="1:12">
      <c r="A963" s="14" t="s">
        <v>4634</v>
      </c>
      <c r="B963" s="2" t="s">
        <v>4635</v>
      </c>
      <c r="C963" s="2" t="s">
        <v>14</v>
      </c>
      <c r="D963" s="2" t="s">
        <v>15</v>
      </c>
      <c r="E963" s="2" t="s">
        <v>16</v>
      </c>
      <c r="F963" s="9">
        <v>46168</v>
      </c>
      <c r="G963" s="9">
        <v>46127</v>
      </c>
      <c r="H963" s="8">
        <v>3.62</v>
      </c>
      <c r="I963" s="8"/>
      <c r="J963" s="9">
        <v>46173</v>
      </c>
      <c r="K963" s="2"/>
      <c r="L963" s="2" t="s">
        <v>17</v>
      </c>
    </row>
    <row r="964" spans="1:12">
      <c r="A964" s="14" t="s">
        <v>2428</v>
      </c>
      <c r="B964" s="2" t="s">
        <v>2429</v>
      </c>
      <c r="C964" s="2" t="s">
        <v>14</v>
      </c>
      <c r="D964" s="2" t="s">
        <v>15</v>
      </c>
      <c r="E964" s="2" t="s">
        <v>62</v>
      </c>
      <c r="F964" s="9">
        <v>46170</v>
      </c>
      <c r="G964" s="9">
        <v>46127</v>
      </c>
      <c r="H964" s="8">
        <v>78.27</v>
      </c>
      <c r="I964" s="8">
        <v>19.36</v>
      </c>
      <c r="J964" s="9">
        <v>46175</v>
      </c>
      <c r="K964" s="2" t="s">
        <v>4636</v>
      </c>
      <c r="L964" s="2" t="s">
        <v>17</v>
      </c>
    </row>
    <row r="965" spans="1:12">
      <c r="A965" s="14" t="s">
        <v>981</v>
      </c>
      <c r="B965" s="2" t="s">
        <v>982</v>
      </c>
      <c r="C965" s="2" t="s">
        <v>14</v>
      </c>
      <c r="D965" s="2" t="s">
        <v>15</v>
      </c>
      <c r="E965" s="2" t="s">
        <v>4600</v>
      </c>
      <c r="F965" s="9">
        <v>46170</v>
      </c>
      <c r="G965" s="9">
        <v>46127</v>
      </c>
      <c r="H965" s="8">
        <v>109.99</v>
      </c>
      <c r="I965" s="8">
        <v>22.75</v>
      </c>
      <c r="J965" s="9">
        <v>46173</v>
      </c>
      <c r="K965" s="2" t="s">
        <v>4637</v>
      </c>
      <c r="L965" s="2" t="s">
        <v>17</v>
      </c>
    </row>
    <row r="966" spans="1:12">
      <c r="A966" s="14" t="s">
        <v>993</v>
      </c>
      <c r="B966" s="2" t="s">
        <v>994</v>
      </c>
      <c r="C966" s="2" t="s">
        <v>14</v>
      </c>
      <c r="D966" s="2" t="s">
        <v>15</v>
      </c>
      <c r="E966" s="2" t="s">
        <v>16</v>
      </c>
      <c r="F966" s="9">
        <v>46168</v>
      </c>
      <c r="G966" s="9">
        <v>46127</v>
      </c>
      <c r="H966" s="8">
        <v>39.340000000000003</v>
      </c>
      <c r="I966" s="8"/>
      <c r="J966" s="9">
        <v>46173</v>
      </c>
      <c r="K966" s="2"/>
      <c r="L966" s="2" t="s">
        <v>17</v>
      </c>
    </row>
    <row r="967" spans="1:12">
      <c r="A967" s="14" t="s">
        <v>4638</v>
      </c>
      <c r="B967" s="2" t="s">
        <v>4639</v>
      </c>
      <c r="C967" s="2" t="s">
        <v>14</v>
      </c>
      <c r="D967" s="2" t="s">
        <v>15</v>
      </c>
      <c r="E967" s="2" t="s">
        <v>20</v>
      </c>
      <c r="F967" s="9">
        <v>46171</v>
      </c>
      <c r="G967" s="9">
        <v>46127</v>
      </c>
      <c r="H967" s="8">
        <v>50.03</v>
      </c>
      <c r="I967" s="8">
        <v>15.42</v>
      </c>
      <c r="J967" s="9">
        <v>46173</v>
      </c>
      <c r="K967" s="2" t="s">
        <v>4640</v>
      </c>
      <c r="L967" s="2" t="s">
        <v>17</v>
      </c>
    </row>
    <row r="968" spans="1:12">
      <c r="A968" s="14" t="e">
        <v>#N/A</v>
      </c>
      <c r="B968" s="2" t="s">
        <v>4641</v>
      </c>
      <c r="C968" s="2" t="s">
        <v>14</v>
      </c>
      <c r="D968" s="2" t="s">
        <v>15</v>
      </c>
      <c r="E968" s="2" t="s">
        <v>16</v>
      </c>
      <c r="F968" s="9">
        <v>46168</v>
      </c>
      <c r="G968" s="9">
        <v>46127</v>
      </c>
      <c r="H968" s="8">
        <v>14.35</v>
      </c>
      <c r="I968" s="8"/>
      <c r="J968" s="9">
        <v>46173</v>
      </c>
      <c r="K968" s="2"/>
      <c r="L968" s="2" t="s">
        <v>17</v>
      </c>
    </row>
    <row r="969" spans="1:12">
      <c r="A969" s="14" t="s">
        <v>4642</v>
      </c>
      <c r="B969" s="2" t="s">
        <v>4643</v>
      </c>
      <c r="C969" s="2" t="s">
        <v>14</v>
      </c>
      <c r="D969" s="2" t="s">
        <v>15</v>
      </c>
      <c r="E969" s="2" t="s">
        <v>55</v>
      </c>
      <c r="F969" s="9">
        <v>46170</v>
      </c>
      <c r="G969" s="9">
        <v>46127</v>
      </c>
      <c r="H969" s="8">
        <v>100.2</v>
      </c>
      <c r="I969" s="8">
        <v>41.21</v>
      </c>
      <c r="J969" s="9">
        <v>46174</v>
      </c>
      <c r="K969" s="2" t="s">
        <v>4644</v>
      </c>
      <c r="L969" s="2" t="s">
        <v>17</v>
      </c>
    </row>
    <row r="970" spans="1:12">
      <c r="A970" s="14" t="s">
        <v>2445</v>
      </c>
      <c r="B970" s="2" t="s">
        <v>2446</v>
      </c>
      <c r="C970" s="2" t="s">
        <v>14</v>
      </c>
      <c r="D970" s="2" t="s">
        <v>15</v>
      </c>
      <c r="E970" s="2" t="s">
        <v>4645</v>
      </c>
      <c r="F970" s="9">
        <v>46169</v>
      </c>
      <c r="G970" s="9">
        <v>46127</v>
      </c>
      <c r="H970" s="8">
        <v>99.99</v>
      </c>
      <c r="I970" s="8">
        <v>39.17</v>
      </c>
      <c r="J970" s="9">
        <v>46171</v>
      </c>
      <c r="K970" s="2" t="s">
        <v>4646</v>
      </c>
      <c r="L970" s="2" t="s">
        <v>17</v>
      </c>
    </row>
    <row r="971" spans="1:12">
      <c r="A971" s="14" t="s">
        <v>2424</v>
      </c>
      <c r="B971" s="29">
        <v>1353617987</v>
      </c>
      <c r="C971" s="2" t="s">
        <v>14</v>
      </c>
      <c r="D971" s="2" t="s">
        <v>15</v>
      </c>
      <c r="E971" s="2" t="s">
        <v>4647</v>
      </c>
      <c r="F971" s="9">
        <v>46168</v>
      </c>
      <c r="G971" s="9">
        <v>46127</v>
      </c>
      <c r="H971" s="8">
        <v>21.46</v>
      </c>
      <c r="I971" s="8">
        <v>23.64</v>
      </c>
      <c r="J971" s="9">
        <v>46174</v>
      </c>
      <c r="K971" s="2" t="s">
        <v>4648</v>
      </c>
      <c r="L971" s="2" t="s">
        <v>17</v>
      </c>
    </row>
    <row r="972" spans="1:12">
      <c r="A972" s="14" t="s">
        <v>2432</v>
      </c>
      <c r="B972" s="2" t="s">
        <v>2433</v>
      </c>
      <c r="C972" s="2" t="s">
        <v>14</v>
      </c>
      <c r="D972" s="2" t="s">
        <v>15</v>
      </c>
      <c r="E972" s="2" t="s">
        <v>55</v>
      </c>
      <c r="F972" s="9">
        <v>46170</v>
      </c>
      <c r="G972" s="9">
        <v>46127</v>
      </c>
      <c r="H972" s="8">
        <v>99.99</v>
      </c>
      <c r="I972" s="8">
        <v>41.39</v>
      </c>
      <c r="J972" s="9">
        <v>46174</v>
      </c>
      <c r="K972" s="2" t="s">
        <v>4649</v>
      </c>
      <c r="L972" s="2" t="s">
        <v>17</v>
      </c>
    </row>
    <row r="973" spans="1:12">
      <c r="A973" s="14" t="s">
        <v>4004</v>
      </c>
      <c r="B973" s="2" t="s">
        <v>4005</v>
      </c>
      <c r="C973" s="2" t="s">
        <v>14</v>
      </c>
      <c r="D973" s="2" t="s">
        <v>15</v>
      </c>
      <c r="E973" s="2" t="s">
        <v>55</v>
      </c>
      <c r="F973" s="9">
        <v>46170</v>
      </c>
      <c r="G973" s="9">
        <v>46127</v>
      </c>
      <c r="H973" s="8">
        <v>99.99</v>
      </c>
      <c r="I973" s="8">
        <v>41.17</v>
      </c>
      <c r="J973" s="9">
        <v>46174</v>
      </c>
      <c r="K973" s="2" t="s">
        <v>4650</v>
      </c>
      <c r="L973" s="2" t="s">
        <v>17</v>
      </c>
    </row>
    <row r="974" spans="1:12">
      <c r="A974" s="14" t="s">
        <v>889</v>
      </c>
      <c r="B974" s="2" t="s">
        <v>890</v>
      </c>
      <c r="C974" s="2" t="s">
        <v>14</v>
      </c>
      <c r="D974" s="2" t="s">
        <v>15</v>
      </c>
      <c r="E974" s="2" t="s">
        <v>20</v>
      </c>
      <c r="F974" s="9">
        <v>46168</v>
      </c>
      <c r="G974" s="9">
        <v>46127</v>
      </c>
      <c r="H974" s="8">
        <v>119.99</v>
      </c>
      <c r="I974" s="8">
        <v>49.37</v>
      </c>
      <c r="J974" s="9">
        <v>46173</v>
      </c>
      <c r="K974" s="2" t="s">
        <v>4651</v>
      </c>
      <c r="L974" s="2" t="s">
        <v>17</v>
      </c>
    </row>
    <row r="975" spans="1:12">
      <c r="A975" s="14" t="s">
        <v>3467</v>
      </c>
      <c r="B975" s="2" t="s">
        <v>3468</v>
      </c>
      <c r="C975" s="2" t="s">
        <v>14</v>
      </c>
      <c r="D975" s="2" t="s">
        <v>15</v>
      </c>
      <c r="E975" s="2" t="s">
        <v>58</v>
      </c>
      <c r="F975" s="9">
        <v>46169</v>
      </c>
      <c r="G975" s="9">
        <v>46127</v>
      </c>
      <c r="H975" s="8">
        <v>109.99</v>
      </c>
      <c r="I975" s="8">
        <v>41.68</v>
      </c>
      <c r="J975" s="9">
        <v>46172</v>
      </c>
      <c r="K975" s="2" t="s">
        <v>4652</v>
      </c>
      <c r="L975" s="2" t="s">
        <v>17</v>
      </c>
    </row>
    <row r="976" spans="1:12">
      <c r="A976" s="14" t="s">
        <v>2355</v>
      </c>
      <c r="B976" s="2" t="s">
        <v>2356</v>
      </c>
      <c r="C976" s="2" t="s">
        <v>14</v>
      </c>
      <c r="D976" s="2" t="s">
        <v>15</v>
      </c>
      <c r="E976" s="2" t="s">
        <v>4586</v>
      </c>
      <c r="F976" s="9">
        <v>46169</v>
      </c>
      <c r="G976" s="9">
        <v>46127</v>
      </c>
      <c r="H976" s="8">
        <v>58.95</v>
      </c>
      <c r="I976" s="8">
        <v>34.71</v>
      </c>
      <c r="J976" s="9">
        <v>46171</v>
      </c>
      <c r="K976" s="2" t="s">
        <v>4653</v>
      </c>
      <c r="L976" s="2" t="s">
        <v>17</v>
      </c>
    </row>
    <row r="977" spans="1:13">
      <c r="A977" s="14" t="s">
        <v>4654</v>
      </c>
      <c r="B977" s="2" t="s">
        <v>4655</v>
      </c>
      <c r="C977" s="2" t="s">
        <v>14</v>
      </c>
      <c r="D977" s="2" t="s">
        <v>15</v>
      </c>
      <c r="E977" s="2" t="s">
        <v>20</v>
      </c>
      <c r="F977" s="9">
        <v>46168</v>
      </c>
      <c r="G977" s="9">
        <v>46127</v>
      </c>
      <c r="H977" s="8">
        <v>110.88</v>
      </c>
      <c r="I977" s="8">
        <v>45.44</v>
      </c>
      <c r="J977" s="9">
        <v>46173</v>
      </c>
      <c r="K977" s="2" t="s">
        <v>4656</v>
      </c>
      <c r="L977" s="2" t="s">
        <v>17</v>
      </c>
    </row>
    <row r="978" spans="1:13">
      <c r="A978" s="14" t="s">
        <v>3202</v>
      </c>
      <c r="B978" s="2" t="s">
        <v>3203</v>
      </c>
      <c r="C978" s="2" t="s">
        <v>14</v>
      </c>
      <c r="D978" s="2" t="s">
        <v>15</v>
      </c>
      <c r="E978" s="2" t="s">
        <v>58</v>
      </c>
      <c r="F978" s="9">
        <v>46169</v>
      </c>
      <c r="G978" s="9">
        <v>46127</v>
      </c>
      <c r="H978" s="8">
        <v>99.99</v>
      </c>
      <c r="I978" s="8">
        <v>37.96</v>
      </c>
      <c r="J978" s="9">
        <v>46172</v>
      </c>
      <c r="K978" s="2" t="s">
        <v>4657</v>
      </c>
      <c r="L978" s="2" t="s">
        <v>17</v>
      </c>
    </row>
    <row r="979" spans="1:13">
      <c r="A979" s="31" t="s">
        <v>3928</v>
      </c>
      <c r="B979" s="2" t="s">
        <v>3929</v>
      </c>
      <c r="C979" s="2" t="s">
        <v>14</v>
      </c>
      <c r="D979" s="2" t="s">
        <v>15</v>
      </c>
      <c r="E979" s="2" t="s">
        <v>55</v>
      </c>
      <c r="F979" s="9">
        <v>46170</v>
      </c>
      <c r="G979" s="9">
        <v>46127</v>
      </c>
      <c r="H979" s="8">
        <v>55.37</v>
      </c>
      <c r="I979" s="8">
        <v>28.8</v>
      </c>
      <c r="J979" s="9">
        <v>46140</v>
      </c>
      <c r="K979" s="2" t="s">
        <v>3930</v>
      </c>
      <c r="L979" s="2" t="s">
        <v>17</v>
      </c>
    </row>
    <row r="980" spans="1:13">
      <c r="A980" s="14" t="s">
        <v>3199</v>
      </c>
      <c r="B980" s="2" t="s">
        <v>3200</v>
      </c>
      <c r="C980" s="2" t="s">
        <v>14</v>
      </c>
      <c r="D980" s="2" t="s">
        <v>15</v>
      </c>
      <c r="E980" s="2" t="s">
        <v>55</v>
      </c>
      <c r="F980" s="9">
        <v>46169</v>
      </c>
      <c r="G980" s="9">
        <v>46127</v>
      </c>
      <c r="H980" s="8">
        <v>99.99</v>
      </c>
      <c r="I980" s="8">
        <v>37.54</v>
      </c>
      <c r="J980" s="9">
        <v>46174</v>
      </c>
      <c r="K980" s="2" t="s">
        <v>4658</v>
      </c>
      <c r="L980" s="2" t="s">
        <v>17</v>
      </c>
    </row>
    <row r="981" spans="1:13">
      <c r="A981" s="14" t="s">
        <v>2372</v>
      </c>
      <c r="B981" s="29" t="str">
        <f>"1.353043233"</f>
        <v>1.353043233</v>
      </c>
      <c r="C981" s="2" t="s">
        <v>14</v>
      </c>
      <c r="D981" s="2" t="s">
        <v>15</v>
      </c>
      <c r="E981" s="2" t="s">
        <v>20</v>
      </c>
      <c r="F981" s="9">
        <v>46171</v>
      </c>
      <c r="G981" s="9">
        <v>46127</v>
      </c>
      <c r="H981" s="8">
        <v>109.99</v>
      </c>
      <c r="I981" s="8">
        <v>22.51</v>
      </c>
      <c r="J981" s="9">
        <v>46173</v>
      </c>
      <c r="K981" s="2" t="s">
        <v>4659</v>
      </c>
      <c r="L981" s="2" t="s">
        <v>17</v>
      </c>
    </row>
    <row r="982" spans="1:13">
      <c r="A982" s="14" t="s">
        <v>2369</v>
      </c>
      <c r="B982" s="2" t="s">
        <v>2370</v>
      </c>
      <c r="C982" s="2" t="s">
        <v>14</v>
      </c>
      <c r="D982" s="2" t="s">
        <v>15</v>
      </c>
      <c r="E982" s="2" t="s">
        <v>20</v>
      </c>
      <c r="F982" s="9">
        <v>46171</v>
      </c>
      <c r="G982" s="9">
        <v>46127</v>
      </c>
      <c r="H982" s="8">
        <v>86.46</v>
      </c>
      <c r="I982" s="8">
        <v>20.21</v>
      </c>
      <c r="J982" s="9">
        <v>46173</v>
      </c>
      <c r="K982" s="2" t="s">
        <v>4660</v>
      </c>
      <c r="L982" s="2" t="s">
        <v>17</v>
      </c>
    </row>
    <row r="983" spans="1:13">
      <c r="A983" s="14" t="s">
        <v>863</v>
      </c>
      <c r="B983" s="2" t="s">
        <v>864</v>
      </c>
      <c r="C983" s="2" t="s">
        <v>14</v>
      </c>
      <c r="D983" s="2" t="s">
        <v>15</v>
      </c>
      <c r="E983" s="2" t="s">
        <v>16</v>
      </c>
      <c r="F983" s="9">
        <v>46168</v>
      </c>
      <c r="G983" s="9">
        <v>46127</v>
      </c>
      <c r="H983" s="8">
        <v>35.380000000000003</v>
      </c>
      <c r="I983" s="8"/>
      <c r="J983" s="9">
        <v>46173</v>
      </c>
      <c r="K983" s="2"/>
      <c r="L983" s="2" t="s">
        <v>17</v>
      </c>
    </row>
    <row r="984" spans="1:13">
      <c r="A984" s="14" t="s">
        <v>3197</v>
      </c>
      <c r="B984" s="2" t="s">
        <v>3198</v>
      </c>
      <c r="C984" s="2" t="s">
        <v>14</v>
      </c>
      <c r="D984" s="2" t="s">
        <v>15</v>
      </c>
      <c r="E984" s="2" t="s">
        <v>2851</v>
      </c>
      <c r="F984" s="9">
        <v>46169</v>
      </c>
      <c r="G984" s="9">
        <v>46127</v>
      </c>
      <c r="H984" s="8">
        <v>99.99</v>
      </c>
      <c r="I984" s="8">
        <v>17.37</v>
      </c>
      <c r="J984" s="9">
        <v>46172</v>
      </c>
      <c r="K984" s="2" t="s">
        <v>4661</v>
      </c>
      <c r="L984" s="2" t="s">
        <v>17</v>
      </c>
    </row>
    <row r="985" spans="1:13">
      <c r="A985" s="14" t="s">
        <v>866</v>
      </c>
      <c r="B985" s="2" t="s">
        <v>867</v>
      </c>
      <c r="C985" s="2" t="s">
        <v>14</v>
      </c>
      <c r="D985" s="2" t="s">
        <v>15</v>
      </c>
      <c r="E985" s="2" t="s">
        <v>4662</v>
      </c>
      <c r="F985" s="9">
        <v>46169</v>
      </c>
      <c r="G985" s="9">
        <v>46127</v>
      </c>
      <c r="H985" s="8">
        <v>98.26</v>
      </c>
      <c r="I985" s="8">
        <v>20.32</v>
      </c>
      <c r="J985" s="9">
        <v>46174</v>
      </c>
      <c r="K985" s="2" t="s">
        <v>4663</v>
      </c>
      <c r="L985" s="2" t="s">
        <v>17</v>
      </c>
    </row>
    <row r="986" spans="1:13">
      <c r="A986" s="14" t="s">
        <v>3285</v>
      </c>
      <c r="B986" s="2" t="s">
        <v>3286</v>
      </c>
      <c r="C986" s="2" t="s">
        <v>14</v>
      </c>
      <c r="D986" s="2" t="s">
        <v>15</v>
      </c>
      <c r="E986" s="2" t="s">
        <v>20</v>
      </c>
      <c r="F986" s="9">
        <v>46168</v>
      </c>
      <c r="G986" s="9">
        <v>46127</v>
      </c>
      <c r="H986" s="8">
        <v>130.69999999999999</v>
      </c>
      <c r="I986" s="8">
        <v>48.06</v>
      </c>
      <c r="J986" s="9">
        <v>46173</v>
      </c>
      <c r="K986" s="9" t="s">
        <v>4664</v>
      </c>
      <c r="L986" s="2" t="s">
        <v>17</v>
      </c>
      <c r="M986" t="s">
        <v>1957</v>
      </c>
    </row>
    <row r="987" spans="1:13">
      <c r="A987" s="14" t="s">
        <v>869</v>
      </c>
      <c r="B987" s="2" t="s">
        <v>870</v>
      </c>
      <c r="C987" s="2" t="s">
        <v>14</v>
      </c>
      <c r="D987" s="2" t="s">
        <v>15</v>
      </c>
      <c r="E987" s="2" t="s">
        <v>20</v>
      </c>
      <c r="F987" s="9">
        <v>46168</v>
      </c>
      <c r="G987" s="9">
        <v>46127</v>
      </c>
      <c r="H987" s="8">
        <v>219.98</v>
      </c>
      <c r="I987" s="8">
        <v>67.88</v>
      </c>
      <c r="J987" s="9">
        <v>46173</v>
      </c>
      <c r="K987" s="2" t="s">
        <v>4665</v>
      </c>
      <c r="L987" s="2" t="s">
        <v>17</v>
      </c>
    </row>
    <row r="988" spans="1:13">
      <c r="A988" s="14" t="s">
        <v>4666</v>
      </c>
      <c r="B988" s="2" t="s">
        <v>4667</v>
      </c>
      <c r="C988" s="2" t="s">
        <v>14</v>
      </c>
      <c r="D988" s="2" t="s">
        <v>15</v>
      </c>
      <c r="E988" s="2" t="s">
        <v>20</v>
      </c>
      <c r="F988" s="9">
        <v>46171</v>
      </c>
      <c r="G988" s="9">
        <v>46127</v>
      </c>
      <c r="H988" s="8">
        <v>99.99</v>
      </c>
      <c r="I988" s="8">
        <v>20.81</v>
      </c>
      <c r="J988" s="9">
        <v>46173</v>
      </c>
      <c r="K988" s="2" t="s">
        <v>4668</v>
      </c>
      <c r="L988" s="2" t="s">
        <v>17</v>
      </c>
    </row>
    <row r="989" spans="1:13">
      <c r="A989" s="14" t="s">
        <v>2377</v>
      </c>
      <c r="B989" s="2" t="s">
        <v>2378</v>
      </c>
      <c r="C989" s="2" t="s">
        <v>14</v>
      </c>
      <c r="D989" s="2" t="s">
        <v>15</v>
      </c>
      <c r="E989" s="2" t="s">
        <v>4569</v>
      </c>
      <c r="F989" s="9">
        <v>46169</v>
      </c>
      <c r="G989" s="9">
        <v>46127</v>
      </c>
      <c r="H989" s="8">
        <v>74.69</v>
      </c>
      <c r="I989" s="8">
        <v>40</v>
      </c>
      <c r="J989" s="9">
        <v>46172</v>
      </c>
      <c r="K989" s="2" t="s">
        <v>4669</v>
      </c>
      <c r="L989" s="2" t="s">
        <v>17</v>
      </c>
    </row>
    <row r="990" spans="1:13">
      <c r="A990" s="14" t="s">
        <v>3276</v>
      </c>
      <c r="B990" s="2" t="s">
        <v>3277</v>
      </c>
      <c r="C990" s="2" t="s">
        <v>14</v>
      </c>
      <c r="D990" s="2" t="s">
        <v>15</v>
      </c>
      <c r="E990" s="2" t="s">
        <v>58</v>
      </c>
      <c r="F990" s="9">
        <v>46169</v>
      </c>
      <c r="G990" s="9">
        <v>46127</v>
      </c>
      <c r="H990" s="8">
        <v>94.6</v>
      </c>
      <c r="I990" s="8">
        <v>78.290000000000006</v>
      </c>
      <c r="J990" s="9">
        <v>46172</v>
      </c>
      <c r="K990" s="2" t="s">
        <v>4670</v>
      </c>
      <c r="L990" s="2" t="s">
        <v>17</v>
      </c>
    </row>
    <row r="991" spans="1:13">
      <c r="A991" s="14" t="s">
        <v>2361</v>
      </c>
      <c r="B991" s="2" t="s">
        <v>2362</v>
      </c>
      <c r="C991" s="2" t="s">
        <v>14</v>
      </c>
      <c r="D991" s="2" t="s">
        <v>15</v>
      </c>
      <c r="E991" s="2" t="s">
        <v>20</v>
      </c>
      <c r="F991" s="9">
        <v>46168</v>
      </c>
      <c r="G991" s="9">
        <v>46127</v>
      </c>
      <c r="H991" s="8">
        <v>139.99</v>
      </c>
      <c r="I991" s="8">
        <v>43.2</v>
      </c>
      <c r="J991" s="9">
        <v>46173</v>
      </c>
      <c r="K991" s="2" t="s">
        <v>4671</v>
      </c>
      <c r="L991" s="2" t="s">
        <v>17</v>
      </c>
    </row>
    <row r="992" spans="1:13">
      <c r="A992" s="14" t="s">
        <v>4672</v>
      </c>
      <c r="B992" s="2" t="s">
        <v>4673</v>
      </c>
      <c r="C992" s="2" t="s">
        <v>14</v>
      </c>
      <c r="D992" s="2" t="s">
        <v>15</v>
      </c>
      <c r="E992" s="2" t="s">
        <v>20</v>
      </c>
      <c r="F992" s="9">
        <v>46170</v>
      </c>
      <c r="G992" s="9">
        <v>46127</v>
      </c>
      <c r="H992" s="8">
        <v>110.32</v>
      </c>
      <c r="I992" s="8">
        <v>23</v>
      </c>
      <c r="J992" s="9">
        <v>46173</v>
      </c>
      <c r="K992" s="2" t="s">
        <v>4674</v>
      </c>
      <c r="L992" s="2" t="s">
        <v>17</v>
      </c>
    </row>
    <row r="993" spans="1:12">
      <c r="A993" s="14" t="s">
        <v>4675</v>
      </c>
      <c r="B993" s="2" t="s">
        <v>4676</v>
      </c>
      <c r="C993" s="2" t="s">
        <v>14</v>
      </c>
      <c r="D993" s="2" t="s">
        <v>15</v>
      </c>
      <c r="E993" s="2" t="s">
        <v>20</v>
      </c>
      <c r="F993" s="9">
        <v>46170</v>
      </c>
      <c r="G993" s="9">
        <v>46127</v>
      </c>
      <c r="H993" s="8">
        <v>95.77</v>
      </c>
      <c r="I993" s="8">
        <v>21.17</v>
      </c>
      <c r="J993" s="9">
        <v>46173</v>
      </c>
      <c r="K993" s="2" t="s">
        <v>4677</v>
      </c>
      <c r="L993" s="2" t="s">
        <v>17</v>
      </c>
    </row>
    <row r="994" spans="1:12">
      <c r="A994" s="14" t="s">
        <v>2357</v>
      </c>
      <c r="B994" s="2" t="s">
        <v>2358</v>
      </c>
      <c r="C994" s="2" t="s">
        <v>14</v>
      </c>
      <c r="D994" s="2" t="s">
        <v>15</v>
      </c>
      <c r="E994" s="2" t="s">
        <v>4678</v>
      </c>
      <c r="F994" s="9">
        <v>46169</v>
      </c>
      <c r="G994" s="9">
        <v>46127</v>
      </c>
      <c r="H994" s="8">
        <v>102.17</v>
      </c>
      <c r="I994" s="8">
        <v>43.65</v>
      </c>
      <c r="J994" s="9">
        <v>46173</v>
      </c>
      <c r="K994" s="2" t="s">
        <v>4679</v>
      </c>
      <c r="L994" s="2" t="s">
        <v>17</v>
      </c>
    </row>
    <row r="995" spans="1:12">
      <c r="A995" s="14" t="s">
        <v>4680</v>
      </c>
      <c r="B995" s="2" t="s">
        <v>4681</v>
      </c>
      <c r="C995" s="2" t="s">
        <v>14</v>
      </c>
      <c r="D995" s="2" t="s">
        <v>15</v>
      </c>
      <c r="E995" s="2" t="s">
        <v>4682</v>
      </c>
      <c r="F995" s="9">
        <v>46170</v>
      </c>
      <c r="G995" s="9">
        <v>46127</v>
      </c>
      <c r="H995" s="8">
        <v>102.17</v>
      </c>
      <c r="I995" s="8">
        <v>46.67</v>
      </c>
      <c r="J995" s="9">
        <v>46174</v>
      </c>
      <c r="K995" s="2" t="s">
        <v>4683</v>
      </c>
      <c r="L995" s="2" t="s">
        <v>17</v>
      </c>
    </row>
    <row r="996" spans="1:12">
      <c r="A996" s="14" t="s">
        <v>4684</v>
      </c>
      <c r="B996" s="2" t="str">
        <f>"1.352088543"</f>
        <v>1.352088543</v>
      </c>
      <c r="C996" s="2" t="s">
        <v>14</v>
      </c>
      <c r="D996" s="2" t="s">
        <v>15</v>
      </c>
      <c r="E996" s="2" t="s">
        <v>20</v>
      </c>
      <c r="F996" s="9">
        <v>46170</v>
      </c>
      <c r="G996" s="9">
        <v>46127</v>
      </c>
      <c r="H996" s="8">
        <v>110.68</v>
      </c>
      <c r="I996" s="8">
        <v>22.84</v>
      </c>
      <c r="J996" s="9">
        <v>46173</v>
      </c>
      <c r="K996" s="2" t="s">
        <v>4685</v>
      </c>
      <c r="L996" s="2" t="s">
        <v>17</v>
      </c>
    </row>
    <row r="997" spans="1:12">
      <c r="A997" s="14" t="s">
        <v>2415</v>
      </c>
      <c r="B997" s="2" t="s">
        <v>2416</v>
      </c>
      <c r="C997" s="2" t="s">
        <v>14</v>
      </c>
      <c r="D997" s="2" t="s">
        <v>15</v>
      </c>
      <c r="E997" s="2" t="s">
        <v>58</v>
      </c>
      <c r="F997" s="9">
        <v>46169</v>
      </c>
      <c r="G997" s="9">
        <v>46127</v>
      </c>
      <c r="H997" s="8">
        <v>109.99</v>
      </c>
      <c r="I997" s="8">
        <v>30</v>
      </c>
      <c r="J997" s="9">
        <v>46172</v>
      </c>
      <c r="K997" s="2" t="s">
        <v>4686</v>
      </c>
      <c r="L997" s="2" t="s">
        <v>17</v>
      </c>
    </row>
    <row r="998" spans="1:12">
      <c r="A998" s="14" t="s">
        <v>948</v>
      </c>
      <c r="B998" s="2" t="s">
        <v>949</v>
      </c>
      <c r="C998" s="2" t="s">
        <v>14</v>
      </c>
      <c r="D998" s="2" t="s">
        <v>15</v>
      </c>
      <c r="E998" s="2" t="s">
        <v>20</v>
      </c>
      <c r="F998" s="9">
        <v>46168</v>
      </c>
      <c r="G998" s="9">
        <v>46127</v>
      </c>
      <c r="H998" s="8">
        <v>119.99</v>
      </c>
      <c r="I998" s="8">
        <v>50.96</v>
      </c>
      <c r="J998" s="9">
        <v>46173</v>
      </c>
      <c r="K998" s="2" t="s">
        <v>4687</v>
      </c>
      <c r="L998" s="2" t="s">
        <v>17</v>
      </c>
    </row>
    <row r="999" spans="1:12">
      <c r="A999" s="14" t="s">
        <v>963</v>
      </c>
      <c r="B999" s="2" t="s">
        <v>964</v>
      </c>
      <c r="C999" s="2" t="s">
        <v>14</v>
      </c>
      <c r="D999" s="2" t="s">
        <v>15</v>
      </c>
      <c r="E999" s="2" t="s">
        <v>16</v>
      </c>
      <c r="F999" s="9">
        <v>46168</v>
      </c>
      <c r="G999" s="9">
        <v>46127</v>
      </c>
      <c r="H999" s="8">
        <v>14.32</v>
      </c>
      <c r="I999" s="8"/>
      <c r="J999" s="9">
        <v>46173</v>
      </c>
      <c r="K999" s="2"/>
      <c r="L999" s="2" t="s">
        <v>17</v>
      </c>
    </row>
    <row r="1000" spans="1:12">
      <c r="A1000" s="14" t="s">
        <v>3996</v>
      </c>
      <c r="B1000" s="2" t="s">
        <v>3997</v>
      </c>
      <c r="C1000" s="2" t="s">
        <v>14</v>
      </c>
      <c r="D1000" s="2" t="s">
        <v>15</v>
      </c>
      <c r="E1000" s="2" t="s">
        <v>20</v>
      </c>
      <c r="F1000" s="9">
        <v>46170</v>
      </c>
      <c r="G1000" s="9">
        <v>46127</v>
      </c>
      <c r="H1000" s="8">
        <v>109.99</v>
      </c>
      <c r="I1000" s="8">
        <v>44.68</v>
      </c>
      <c r="J1000" s="9">
        <v>46173</v>
      </c>
      <c r="K1000" s="2" t="s">
        <v>4688</v>
      </c>
      <c r="L1000" s="2" t="s">
        <v>17</v>
      </c>
    </row>
    <row r="1001" spans="1:12">
      <c r="A1001" s="14" t="s">
        <v>3267</v>
      </c>
      <c r="B1001" s="2" t="s">
        <v>3268</v>
      </c>
      <c r="C1001" s="2" t="s">
        <v>14</v>
      </c>
      <c r="D1001" s="2" t="s">
        <v>15</v>
      </c>
      <c r="E1001" s="2" t="s">
        <v>55</v>
      </c>
      <c r="F1001" s="9">
        <v>46169</v>
      </c>
      <c r="G1001" s="9">
        <v>46127</v>
      </c>
      <c r="H1001" s="8">
        <v>99.99</v>
      </c>
      <c r="I1001" s="8">
        <v>38.06</v>
      </c>
      <c r="J1001" s="9">
        <v>46170</v>
      </c>
      <c r="K1001" s="2" t="s">
        <v>4689</v>
      </c>
      <c r="L1001" s="2" t="s">
        <v>17</v>
      </c>
    </row>
    <row r="1002" spans="1:12">
      <c r="A1002" s="14" t="s">
        <v>2917</v>
      </c>
      <c r="B1002" s="2" t="s">
        <v>3402</v>
      </c>
      <c r="C1002" s="2" t="s">
        <v>14</v>
      </c>
      <c r="D1002" s="2" t="s">
        <v>15</v>
      </c>
      <c r="E1002" s="2" t="s">
        <v>55</v>
      </c>
      <c r="F1002" s="9">
        <v>46169</v>
      </c>
      <c r="G1002" s="9">
        <v>46127</v>
      </c>
      <c r="H1002" s="8">
        <v>50.87</v>
      </c>
      <c r="I1002" s="8">
        <v>14.56</v>
      </c>
      <c r="J1002" s="9">
        <v>46170</v>
      </c>
      <c r="K1002" s="2" t="s">
        <v>4690</v>
      </c>
      <c r="L1002" s="2" t="s">
        <v>17</v>
      </c>
    </row>
    <row r="1003" spans="1:12">
      <c r="A1003" s="14" t="s">
        <v>4691</v>
      </c>
      <c r="B1003" s="2" t="s">
        <v>4692</v>
      </c>
      <c r="C1003" s="2" t="s">
        <v>14</v>
      </c>
      <c r="D1003" s="2" t="s">
        <v>15</v>
      </c>
      <c r="E1003" s="2" t="s">
        <v>2610</v>
      </c>
      <c r="F1003" s="9">
        <v>46169</v>
      </c>
      <c r="G1003" s="9">
        <v>46127</v>
      </c>
      <c r="H1003" s="8">
        <v>49.99</v>
      </c>
      <c r="I1003" s="8">
        <v>15.03</v>
      </c>
      <c r="J1003" s="9">
        <v>46174</v>
      </c>
      <c r="K1003" s="2" t="s">
        <v>4693</v>
      </c>
      <c r="L1003" s="2" t="s">
        <v>17</v>
      </c>
    </row>
    <row r="1004" spans="1:12">
      <c r="A1004" s="14" t="s">
        <v>3294</v>
      </c>
      <c r="B1004" s="2" t="s">
        <v>3295</v>
      </c>
      <c r="C1004" s="2" t="s">
        <v>14</v>
      </c>
      <c r="D1004" s="2" t="s">
        <v>15</v>
      </c>
      <c r="E1004" s="2" t="s">
        <v>23</v>
      </c>
      <c r="F1004" s="9">
        <v>46170</v>
      </c>
      <c r="G1004" s="9">
        <v>46127</v>
      </c>
      <c r="H1004" s="8">
        <v>49.99</v>
      </c>
      <c r="I1004" s="8">
        <v>20.88</v>
      </c>
      <c r="J1004" s="9" t="s">
        <v>4694</v>
      </c>
      <c r="K1004" s="2" t="s">
        <v>4695</v>
      </c>
      <c r="L1004" s="2" t="s">
        <v>17</v>
      </c>
    </row>
    <row r="1005" spans="1:12">
      <c r="A1005" s="14" t="s">
        <v>4696</v>
      </c>
      <c r="B1005" s="2" t="s">
        <v>4697</v>
      </c>
      <c r="C1005" s="2" t="s">
        <v>14</v>
      </c>
      <c r="D1005" s="2" t="s">
        <v>15</v>
      </c>
      <c r="E1005" s="2" t="s">
        <v>55</v>
      </c>
      <c r="F1005" s="9">
        <v>46171</v>
      </c>
      <c r="G1005" s="9">
        <v>46127</v>
      </c>
      <c r="H1005" s="8">
        <v>49.99</v>
      </c>
      <c r="I1005" s="8">
        <v>20.62</v>
      </c>
      <c r="J1005" s="9">
        <v>46174</v>
      </c>
      <c r="K1005" s="2" t="s">
        <v>4698</v>
      </c>
      <c r="L1005" s="2" t="s">
        <v>17</v>
      </c>
    </row>
    <row r="1006" spans="1:12">
      <c r="A1006" s="14" t="s">
        <v>3220</v>
      </c>
      <c r="B1006" s="2" t="s">
        <v>3221</v>
      </c>
      <c r="C1006" s="2" t="s">
        <v>14</v>
      </c>
      <c r="D1006" s="2" t="s">
        <v>15</v>
      </c>
      <c r="E1006" s="2" t="s">
        <v>16</v>
      </c>
      <c r="F1006" s="9">
        <v>46168</v>
      </c>
      <c r="G1006" s="9">
        <v>46127</v>
      </c>
      <c r="H1006" s="8">
        <v>15.19</v>
      </c>
      <c r="I1006" s="8"/>
      <c r="J1006" s="9">
        <v>46173</v>
      </c>
      <c r="K1006" s="2"/>
      <c r="L1006" s="2" t="s">
        <v>17</v>
      </c>
    </row>
    <row r="1007" spans="1:12">
      <c r="A1007" s="14" t="s">
        <v>3265</v>
      </c>
      <c r="B1007" s="2" t="s">
        <v>3266</v>
      </c>
      <c r="C1007" s="2" t="s">
        <v>14</v>
      </c>
      <c r="D1007" s="2" t="s">
        <v>15</v>
      </c>
      <c r="F1007" s="9">
        <v>46169</v>
      </c>
      <c r="G1007" s="9">
        <v>46127</v>
      </c>
      <c r="H1007" s="8">
        <v>49.99</v>
      </c>
      <c r="I1007" s="8">
        <v>11.03</v>
      </c>
      <c r="J1007" s="9">
        <v>46171</v>
      </c>
      <c r="K1007" s="2" t="s">
        <v>4699</v>
      </c>
      <c r="L1007" s="2" t="s">
        <v>17</v>
      </c>
    </row>
    <row r="1008" spans="1:12">
      <c r="A1008" s="14" t="s">
        <v>1012</v>
      </c>
      <c r="B1008" s="2" t="s">
        <v>1013</v>
      </c>
      <c r="C1008" s="2" t="s">
        <v>14</v>
      </c>
      <c r="D1008" s="2" t="s">
        <v>15</v>
      </c>
      <c r="E1008" s="2" t="s">
        <v>2851</v>
      </c>
      <c r="F1008" s="9">
        <v>46169</v>
      </c>
      <c r="G1008" s="9">
        <v>46127</v>
      </c>
      <c r="H1008" s="8">
        <v>49.99</v>
      </c>
      <c r="I1008" s="8">
        <v>10.34</v>
      </c>
      <c r="J1008" s="9">
        <v>46172</v>
      </c>
      <c r="K1008" s="2" t="s">
        <v>4700</v>
      </c>
      <c r="L1008" s="2" t="s">
        <v>17</v>
      </c>
    </row>
    <row r="1009" spans="1:12">
      <c r="A1009" s="14" t="s">
        <v>1010</v>
      </c>
      <c r="B1009" s="2" t="s">
        <v>1011</v>
      </c>
      <c r="C1009" s="2" t="s">
        <v>14</v>
      </c>
      <c r="D1009" s="2" t="s">
        <v>15</v>
      </c>
      <c r="F1009" s="9">
        <v>46169</v>
      </c>
      <c r="G1009" s="9">
        <v>46127</v>
      </c>
      <c r="H1009" s="8">
        <v>49.99</v>
      </c>
      <c r="I1009" s="8">
        <v>10.34</v>
      </c>
      <c r="J1009" s="9">
        <v>46171</v>
      </c>
      <c r="K1009" s="2" t="s">
        <v>4701</v>
      </c>
      <c r="L1009" s="2" t="s">
        <v>17</v>
      </c>
    </row>
    <row r="1010" spans="1:12">
      <c r="A1010" s="14" t="s">
        <v>4702</v>
      </c>
      <c r="B1010" s="2" t="s">
        <v>4703</v>
      </c>
      <c r="C1010" s="2" t="s">
        <v>14</v>
      </c>
      <c r="D1010" s="2" t="s">
        <v>15</v>
      </c>
      <c r="E1010" s="2" t="s">
        <v>187</v>
      </c>
      <c r="F1010" s="9">
        <v>46169</v>
      </c>
      <c r="G1010" s="9">
        <v>46127</v>
      </c>
      <c r="H1010" s="8">
        <v>49.99</v>
      </c>
      <c r="I1010" s="8">
        <v>20.57</v>
      </c>
      <c r="J1010" s="9">
        <v>46170</v>
      </c>
      <c r="K1010" s="2" t="s">
        <v>4704</v>
      </c>
      <c r="L1010" s="2" t="s">
        <v>17</v>
      </c>
    </row>
    <row r="1011" spans="1:12">
      <c r="A1011" s="14" t="s">
        <v>4705</v>
      </c>
      <c r="B1011" s="2" t="s">
        <v>4706</v>
      </c>
      <c r="C1011" s="2" t="s">
        <v>14</v>
      </c>
      <c r="D1011" s="2" t="s">
        <v>15</v>
      </c>
      <c r="E1011" s="2" t="s">
        <v>16</v>
      </c>
      <c r="F1011" s="9">
        <v>46168</v>
      </c>
      <c r="G1011" s="9">
        <v>46127</v>
      </c>
      <c r="H1011" s="8">
        <v>0.98</v>
      </c>
      <c r="I1011" s="8"/>
      <c r="J1011" s="9">
        <v>46173</v>
      </c>
      <c r="K1011" s="2"/>
      <c r="L1011" s="2" t="s">
        <v>17</v>
      </c>
    </row>
    <row r="1012" spans="1:12">
      <c r="A1012" s="14" t="s">
        <v>4707</v>
      </c>
      <c r="B1012" s="2" t="s">
        <v>4708</v>
      </c>
      <c r="C1012" s="2" t="s">
        <v>14</v>
      </c>
      <c r="D1012" s="2" t="s">
        <v>15</v>
      </c>
      <c r="E1012" s="2" t="s">
        <v>4678</v>
      </c>
      <c r="F1012" s="9">
        <v>46169</v>
      </c>
      <c r="G1012" s="9">
        <v>46127</v>
      </c>
      <c r="H1012" s="8">
        <v>109.99</v>
      </c>
      <c r="I1012" s="8">
        <v>17.059999999999999</v>
      </c>
      <c r="J1012" s="9">
        <v>46173</v>
      </c>
      <c r="K1012" s="2" t="s">
        <v>4709</v>
      </c>
      <c r="L1012" s="2" t="s">
        <v>17</v>
      </c>
    </row>
    <row r="1013" spans="1:12">
      <c r="A1013" s="14" t="s">
        <v>3038</v>
      </c>
      <c r="B1013" s="2" t="s">
        <v>3039</v>
      </c>
      <c r="C1013" s="2" t="s">
        <v>14</v>
      </c>
      <c r="D1013" s="2" t="s">
        <v>15</v>
      </c>
      <c r="E1013" s="2" t="s">
        <v>4100</v>
      </c>
      <c r="F1013" s="9">
        <v>46169</v>
      </c>
      <c r="G1013" s="9">
        <v>46127</v>
      </c>
      <c r="H1013" s="8">
        <v>99.91</v>
      </c>
      <c r="I1013" s="8">
        <v>27.77</v>
      </c>
      <c r="J1013" s="9">
        <v>46174</v>
      </c>
      <c r="K1013" s="2" t="s">
        <v>4710</v>
      </c>
      <c r="L1013" s="2" t="s">
        <v>17</v>
      </c>
    </row>
    <row r="1014" spans="1:12">
      <c r="A1014" s="14" t="s">
        <v>3081</v>
      </c>
      <c r="B1014" s="2" t="s">
        <v>3082</v>
      </c>
      <c r="C1014" s="2" t="s">
        <v>14</v>
      </c>
      <c r="D1014" s="2" t="s">
        <v>15</v>
      </c>
      <c r="E1014" s="2" t="s">
        <v>20</v>
      </c>
      <c r="F1014" s="9">
        <v>46169</v>
      </c>
      <c r="G1014" s="9">
        <v>46127</v>
      </c>
      <c r="H1014" s="8">
        <v>139.99</v>
      </c>
      <c r="I1014" s="8">
        <v>41.91</v>
      </c>
      <c r="J1014" s="9">
        <v>46173</v>
      </c>
      <c r="K1014" s="2" t="s">
        <v>4711</v>
      </c>
      <c r="L1014" s="2" t="s">
        <v>17</v>
      </c>
    </row>
    <row r="1015" spans="1:12">
      <c r="A1015" s="14" t="s">
        <v>3062</v>
      </c>
      <c r="B1015" s="2" t="s">
        <v>3063</v>
      </c>
      <c r="C1015" s="2" t="s">
        <v>14</v>
      </c>
      <c r="D1015" s="2" t="s">
        <v>15</v>
      </c>
      <c r="E1015" s="2" t="s">
        <v>55</v>
      </c>
      <c r="F1015" s="9">
        <v>46170</v>
      </c>
      <c r="G1015" s="9">
        <v>46127</v>
      </c>
      <c r="H1015" s="8">
        <v>99.96</v>
      </c>
      <c r="I1015" s="8">
        <v>21.69</v>
      </c>
      <c r="J1015" s="9">
        <v>46170</v>
      </c>
      <c r="K1015" s="2" t="s">
        <v>4712</v>
      </c>
      <c r="L1015" s="2" t="s">
        <v>17</v>
      </c>
    </row>
    <row r="1016" spans="1:12">
      <c r="A1016" s="14" t="s">
        <v>4713</v>
      </c>
      <c r="B1016" s="2" t="s">
        <v>4714</v>
      </c>
      <c r="C1016" s="2" t="s">
        <v>14</v>
      </c>
      <c r="D1016" s="2" t="s">
        <v>15</v>
      </c>
      <c r="E1016" s="2" t="s">
        <v>16</v>
      </c>
      <c r="F1016" s="9">
        <v>46168</v>
      </c>
      <c r="G1016" s="9">
        <v>46127</v>
      </c>
      <c r="H1016" s="8">
        <v>1.67</v>
      </c>
      <c r="I1016" s="8"/>
      <c r="J1016" s="9">
        <v>46173</v>
      </c>
      <c r="K1016" s="2"/>
      <c r="L1016" s="2" t="s">
        <v>17</v>
      </c>
    </row>
    <row r="1017" spans="1:12">
      <c r="A1017" s="14" t="s">
        <v>4715</v>
      </c>
      <c r="B1017" s="2" t="s">
        <v>4716</v>
      </c>
      <c r="C1017" s="2" t="s">
        <v>14</v>
      </c>
      <c r="D1017" s="2" t="s">
        <v>15</v>
      </c>
      <c r="E1017" s="2" t="s">
        <v>4569</v>
      </c>
      <c r="F1017" s="9">
        <v>46168</v>
      </c>
      <c r="G1017" s="9">
        <v>46127</v>
      </c>
      <c r="H1017" s="8">
        <v>109.99</v>
      </c>
      <c r="I1017" s="8">
        <v>109.99</v>
      </c>
      <c r="J1017" s="9">
        <v>46169</v>
      </c>
      <c r="K1017" s="2" t="s">
        <v>4717</v>
      </c>
      <c r="L1017" s="2" t="s">
        <v>17</v>
      </c>
    </row>
    <row r="1018" spans="1:12">
      <c r="A1018" s="14" t="s">
        <v>3975</v>
      </c>
      <c r="B1018" s="29" t="str">
        <f>"1.352589152"</f>
        <v>1.352589152</v>
      </c>
      <c r="C1018" s="2" t="s">
        <v>14</v>
      </c>
      <c r="D1018" s="2" t="s">
        <v>15</v>
      </c>
      <c r="E1018" s="2" t="s">
        <v>58</v>
      </c>
      <c r="F1018" s="9">
        <v>46170</v>
      </c>
      <c r="G1018" s="9">
        <v>46127</v>
      </c>
      <c r="H1018" s="8">
        <v>65.19</v>
      </c>
      <c r="I1018" s="8">
        <v>27.91</v>
      </c>
      <c r="J1018" s="9">
        <v>46174</v>
      </c>
      <c r="K1018" s="2" t="s">
        <v>4718</v>
      </c>
      <c r="L1018" s="2" t="s">
        <v>17</v>
      </c>
    </row>
    <row r="1019" spans="1:12">
      <c r="A1019" s="14" t="s">
        <v>4719</v>
      </c>
      <c r="B1019" s="2" t="s">
        <v>4720</v>
      </c>
      <c r="C1019" s="2" t="s">
        <v>14</v>
      </c>
      <c r="D1019" s="2" t="s">
        <v>15</v>
      </c>
      <c r="E1019" s="2" t="s">
        <v>187</v>
      </c>
      <c r="F1019" s="9">
        <v>46169</v>
      </c>
      <c r="G1019" s="9">
        <v>46127</v>
      </c>
      <c r="H1019" s="8">
        <v>109.99</v>
      </c>
      <c r="I1019" s="8">
        <v>22.64</v>
      </c>
      <c r="J1019" s="9">
        <v>46170</v>
      </c>
      <c r="K1019" s="2" t="s">
        <v>4721</v>
      </c>
      <c r="L1019" s="2" t="s">
        <v>17</v>
      </c>
    </row>
    <row r="1020" spans="1:12">
      <c r="A1020" s="14" t="s">
        <v>3987</v>
      </c>
      <c r="B1020" s="2" t="s">
        <v>3988</v>
      </c>
      <c r="C1020" s="2" t="s">
        <v>14</v>
      </c>
      <c r="D1020" s="2" t="s">
        <v>15</v>
      </c>
      <c r="E1020" s="2" t="s">
        <v>2851</v>
      </c>
      <c r="F1020" s="9">
        <v>46170</v>
      </c>
      <c r="G1020" s="9">
        <v>46127</v>
      </c>
      <c r="H1020" s="8">
        <v>74.69</v>
      </c>
      <c r="I1020" s="8">
        <v>25</v>
      </c>
      <c r="J1020" s="9">
        <v>46172</v>
      </c>
      <c r="K1020" s="2" t="s">
        <v>4722</v>
      </c>
      <c r="L1020" s="2" t="s">
        <v>17</v>
      </c>
    </row>
    <row r="1021" spans="1:12">
      <c r="A1021" s="14" t="s">
        <v>4723</v>
      </c>
      <c r="B1021" s="2" t="s">
        <v>4724</v>
      </c>
      <c r="C1021" s="2" t="s">
        <v>14</v>
      </c>
      <c r="D1021" s="2" t="s">
        <v>15</v>
      </c>
      <c r="E1021" s="2" t="s">
        <v>20</v>
      </c>
      <c r="F1021" s="9">
        <v>46170</v>
      </c>
      <c r="G1021" s="9">
        <v>46127</v>
      </c>
      <c r="H1021" s="8">
        <v>109.99</v>
      </c>
      <c r="I1021" s="8">
        <v>11.38</v>
      </c>
      <c r="J1021" s="9">
        <v>46173</v>
      </c>
      <c r="K1021" s="2" t="s">
        <v>4725</v>
      </c>
      <c r="L1021" s="2" t="s">
        <v>17</v>
      </c>
    </row>
    <row r="1022" spans="1:12">
      <c r="A1022" s="14" t="s">
        <v>341</v>
      </c>
      <c r="B1022" s="2" t="s">
        <v>2454</v>
      </c>
      <c r="C1022" s="2" t="s">
        <v>14</v>
      </c>
      <c r="D1022" s="2" t="s">
        <v>15</v>
      </c>
      <c r="E1022" s="2" t="s">
        <v>16</v>
      </c>
      <c r="F1022" s="9">
        <v>46168</v>
      </c>
      <c r="G1022" s="9">
        <v>46127</v>
      </c>
      <c r="H1022" s="8">
        <v>23.6</v>
      </c>
      <c r="I1022" s="8"/>
      <c r="J1022" s="9">
        <v>46173</v>
      </c>
      <c r="K1022" s="2"/>
      <c r="L1022" s="2" t="s">
        <v>17</v>
      </c>
    </row>
    <row r="1023" spans="1:12">
      <c r="A1023" s="14" t="s">
        <v>4726</v>
      </c>
      <c r="B1023" s="2" t="s">
        <v>4727</v>
      </c>
      <c r="C1023" s="2" t="s">
        <v>14</v>
      </c>
      <c r="D1023" s="2" t="s">
        <v>15</v>
      </c>
      <c r="E1023" s="2" t="s">
        <v>16</v>
      </c>
      <c r="F1023" s="9">
        <v>46168</v>
      </c>
      <c r="G1023" s="9">
        <v>46127</v>
      </c>
      <c r="H1023" s="8">
        <v>5.39</v>
      </c>
      <c r="I1023" s="8"/>
      <c r="J1023" s="9">
        <v>46173</v>
      </c>
      <c r="K1023" s="2"/>
      <c r="L1023" s="2" t="s">
        <v>17</v>
      </c>
    </row>
    <row r="1024" spans="1:12">
      <c r="A1024" s="14" t="s">
        <v>4728</v>
      </c>
      <c r="B1024" s="2" t="s">
        <v>4729</v>
      </c>
      <c r="C1024" s="2" t="s">
        <v>4355</v>
      </c>
      <c r="D1024" s="2" t="s">
        <v>15</v>
      </c>
      <c r="E1024" s="2" t="s">
        <v>20</v>
      </c>
      <c r="F1024" s="9">
        <v>46169</v>
      </c>
      <c r="G1024" s="9">
        <v>46088</v>
      </c>
      <c r="H1024" s="8">
        <v>49.99</v>
      </c>
      <c r="I1024" s="8">
        <v>7.53</v>
      </c>
      <c r="J1024" s="9">
        <v>46173</v>
      </c>
      <c r="K1024" s="2" t="s">
        <v>4730</v>
      </c>
      <c r="L1024" s="2" t="s">
        <v>17</v>
      </c>
    </row>
    <row r="1025" spans="1:12">
      <c r="A1025" s="14" t="s">
        <v>4731</v>
      </c>
      <c r="B1025" s="2" t="s">
        <v>4732</v>
      </c>
      <c r="C1025" s="2" t="s">
        <v>4355</v>
      </c>
      <c r="D1025" s="2" t="s">
        <v>15</v>
      </c>
      <c r="E1025" s="2" t="s">
        <v>20</v>
      </c>
      <c r="F1025" s="9">
        <v>46169</v>
      </c>
      <c r="G1025" s="9">
        <v>46088</v>
      </c>
      <c r="H1025" s="8">
        <v>99.98</v>
      </c>
      <c r="I1025" s="8">
        <v>15.59</v>
      </c>
      <c r="J1025" s="9">
        <v>46173</v>
      </c>
      <c r="K1025" s="2" t="s">
        <v>4733</v>
      </c>
      <c r="L1025" s="2" t="s">
        <v>17</v>
      </c>
    </row>
    <row r="1026" spans="1:12">
      <c r="A1026" s="14" t="s">
        <v>4734</v>
      </c>
      <c r="B1026" s="2" t="s">
        <v>4735</v>
      </c>
      <c r="C1026" s="2" t="s">
        <v>4355</v>
      </c>
      <c r="D1026" s="2" t="s">
        <v>15</v>
      </c>
      <c r="E1026" s="2" t="s">
        <v>20</v>
      </c>
      <c r="F1026" s="9">
        <v>46169</v>
      </c>
      <c r="G1026" s="9">
        <v>46088</v>
      </c>
      <c r="H1026" s="8">
        <v>49.99</v>
      </c>
      <c r="I1026" s="8">
        <v>7.5</v>
      </c>
      <c r="J1026" s="9">
        <v>46173</v>
      </c>
      <c r="K1026" s="2" t="s">
        <v>4736</v>
      </c>
      <c r="L1026" s="2" t="s">
        <v>17</v>
      </c>
    </row>
    <row r="1027" spans="1:12">
      <c r="A1027" s="14" t="s">
        <v>4737</v>
      </c>
      <c r="B1027" s="2" t="s">
        <v>4738</v>
      </c>
      <c r="C1027" s="2" t="s">
        <v>4355</v>
      </c>
      <c r="D1027" s="2" t="s">
        <v>15</v>
      </c>
      <c r="E1027" s="2" t="s">
        <v>20</v>
      </c>
      <c r="F1027" s="9">
        <v>46169</v>
      </c>
      <c r="G1027" s="9">
        <v>46088</v>
      </c>
      <c r="H1027" s="8">
        <v>79.98</v>
      </c>
      <c r="I1027" s="8">
        <v>12.22</v>
      </c>
      <c r="J1027" s="9">
        <v>46173</v>
      </c>
      <c r="K1027" s="2" t="s">
        <v>4739</v>
      </c>
      <c r="L1027" s="2" t="s">
        <v>17</v>
      </c>
    </row>
    <row r="1028" spans="1:12">
      <c r="A1028" s="14" t="s">
        <v>4740</v>
      </c>
      <c r="B1028" s="2" t="s">
        <v>4741</v>
      </c>
      <c r="C1028" s="2" t="s">
        <v>4355</v>
      </c>
      <c r="D1028" s="2" t="s">
        <v>15</v>
      </c>
      <c r="E1028" s="2" t="s">
        <v>20</v>
      </c>
      <c r="F1028" s="9">
        <v>46169</v>
      </c>
      <c r="G1028" s="9">
        <v>46088</v>
      </c>
      <c r="H1028" s="8">
        <v>93.98</v>
      </c>
      <c r="I1028" s="8">
        <v>14.42</v>
      </c>
      <c r="J1028" s="9">
        <v>46173</v>
      </c>
      <c r="K1028" s="2" t="s">
        <v>4742</v>
      </c>
      <c r="L1028" s="2" t="s">
        <v>17</v>
      </c>
    </row>
    <row r="1029" spans="1:12">
      <c r="A1029" s="14" t="s">
        <v>4743</v>
      </c>
      <c r="B1029" s="2" t="s">
        <v>4744</v>
      </c>
      <c r="C1029" s="2" t="s">
        <v>4355</v>
      </c>
      <c r="D1029" s="2" t="s">
        <v>15</v>
      </c>
      <c r="E1029" s="2" t="s">
        <v>20</v>
      </c>
      <c r="F1029" s="9">
        <v>46169</v>
      </c>
      <c r="G1029" s="9">
        <v>46088</v>
      </c>
      <c r="H1029" s="8">
        <v>49.99</v>
      </c>
      <c r="I1029" s="8">
        <v>19.559999999999999</v>
      </c>
      <c r="J1029" s="9">
        <v>46173</v>
      </c>
      <c r="K1029" s="2" t="s">
        <v>4745</v>
      </c>
      <c r="L1029" s="2" t="s">
        <v>17</v>
      </c>
    </row>
    <row r="1030" spans="1:12">
      <c r="A1030" s="14" t="s">
        <v>4746</v>
      </c>
      <c r="B1030" s="2" t="s">
        <v>4747</v>
      </c>
      <c r="C1030" s="2" t="s">
        <v>14</v>
      </c>
      <c r="D1030" s="2" t="s">
        <v>15</v>
      </c>
      <c r="E1030" s="2" t="s">
        <v>16</v>
      </c>
      <c r="F1030" s="9">
        <v>46170</v>
      </c>
      <c r="G1030" s="9" t="s">
        <v>4748</v>
      </c>
      <c r="H1030" s="8">
        <v>3.96</v>
      </c>
      <c r="I1030" s="8"/>
      <c r="J1030" s="9">
        <v>46173</v>
      </c>
      <c r="K1030" s="2"/>
      <c r="L1030" s="2" t="s">
        <v>17</v>
      </c>
    </row>
    <row r="1031" spans="1:12">
      <c r="A1031" s="14" t="s">
        <v>28</v>
      </c>
      <c r="B1031" s="2" t="s">
        <v>52</v>
      </c>
      <c r="C1031" s="2" t="s">
        <v>14</v>
      </c>
      <c r="D1031" s="2" t="s">
        <v>15</v>
      </c>
      <c r="E1031" s="2" t="s">
        <v>16</v>
      </c>
      <c r="F1031" s="9">
        <v>46170</v>
      </c>
      <c r="G1031" s="9" t="s">
        <v>1894</v>
      </c>
      <c r="H1031" s="8">
        <v>18.62</v>
      </c>
      <c r="I1031" s="8"/>
      <c r="J1031" s="9">
        <v>46173</v>
      </c>
      <c r="K1031" s="2"/>
      <c r="L1031" s="2" t="s">
        <v>17</v>
      </c>
    </row>
    <row r="1032" spans="1:12">
      <c r="A1032" s="14" t="s">
        <v>102</v>
      </c>
      <c r="B1032" s="2" t="s">
        <v>103</v>
      </c>
      <c r="C1032" s="2" t="s">
        <v>14</v>
      </c>
      <c r="D1032" s="2" t="s">
        <v>15</v>
      </c>
      <c r="E1032" s="2" t="s">
        <v>16</v>
      </c>
      <c r="F1032" s="9">
        <v>46170</v>
      </c>
      <c r="G1032" s="9" t="s">
        <v>4749</v>
      </c>
      <c r="H1032" s="8">
        <v>21.1</v>
      </c>
      <c r="I1032" s="8"/>
      <c r="J1032" s="9">
        <v>46173</v>
      </c>
      <c r="K1032" s="2"/>
      <c r="L1032" s="2" t="s">
        <v>17</v>
      </c>
    </row>
    <row r="1033" spans="1:12">
      <c r="A1033" s="14" t="s">
        <v>4750</v>
      </c>
      <c r="B1033" s="2" t="s">
        <v>4751</v>
      </c>
      <c r="C1033" s="2" t="s">
        <v>14</v>
      </c>
      <c r="D1033" s="2" t="s">
        <v>15</v>
      </c>
      <c r="E1033" s="2" t="s">
        <v>20</v>
      </c>
      <c r="F1033" s="9">
        <v>46171</v>
      </c>
      <c r="G1033" s="9" t="s">
        <v>4748</v>
      </c>
      <c r="H1033" s="8">
        <v>102.57</v>
      </c>
      <c r="I1033" s="8">
        <v>208.71</v>
      </c>
      <c r="J1033" s="9">
        <v>46171</v>
      </c>
      <c r="K1033" s="2" t="s">
        <v>4752</v>
      </c>
      <c r="L1033" s="2" t="s">
        <v>17</v>
      </c>
    </row>
    <row r="1034" spans="1:12">
      <c r="A1034" s="14" t="s">
        <v>4753</v>
      </c>
      <c r="B1034" s="2" t="s">
        <v>4754</v>
      </c>
      <c r="C1034" s="2" t="s">
        <v>14</v>
      </c>
      <c r="D1034" s="2" t="s">
        <v>15</v>
      </c>
      <c r="E1034" s="2" t="s">
        <v>4755</v>
      </c>
      <c r="F1034" s="9">
        <v>46171</v>
      </c>
      <c r="G1034" s="9" t="s">
        <v>4748</v>
      </c>
      <c r="H1034" s="8">
        <v>99.99</v>
      </c>
      <c r="I1034" s="8">
        <v>61.22</v>
      </c>
      <c r="J1034" s="9">
        <v>46176</v>
      </c>
      <c r="K1034" s="2" t="s">
        <v>4756</v>
      </c>
      <c r="L1034" s="2" t="s">
        <v>17</v>
      </c>
    </row>
    <row r="1035" spans="1:12">
      <c r="A1035" s="14" t="s">
        <v>755</v>
      </c>
      <c r="B1035" s="2" t="s">
        <v>756</v>
      </c>
      <c r="C1035" s="2" t="s">
        <v>14</v>
      </c>
      <c r="D1035" s="2" t="s">
        <v>15</v>
      </c>
      <c r="E1035" s="2" t="s">
        <v>4757</v>
      </c>
      <c r="F1035" s="9">
        <v>46171</v>
      </c>
      <c r="G1035" s="9" t="s">
        <v>4748</v>
      </c>
      <c r="H1035" s="8">
        <v>119.36</v>
      </c>
      <c r="I1035" s="8">
        <v>34.31</v>
      </c>
      <c r="J1035" s="9">
        <v>46176</v>
      </c>
      <c r="K1035" s="2" t="s">
        <v>4758</v>
      </c>
      <c r="L1035" s="2" t="s">
        <v>17</v>
      </c>
    </row>
    <row r="1036" spans="1:12">
      <c r="A1036" s="14" t="s">
        <v>4759</v>
      </c>
      <c r="B1036" s="29" t="str">
        <f>"1.352749431"</f>
        <v>1.352749431</v>
      </c>
      <c r="C1036" s="2" t="s">
        <v>14</v>
      </c>
      <c r="D1036" s="2" t="s">
        <v>15</v>
      </c>
      <c r="E1036" s="2" t="s">
        <v>20</v>
      </c>
      <c r="F1036" s="9">
        <v>46171</v>
      </c>
      <c r="G1036" s="9" t="s">
        <v>4748</v>
      </c>
      <c r="H1036" s="8">
        <v>106.09</v>
      </c>
      <c r="I1036" s="8">
        <v>33.270000000000003</v>
      </c>
      <c r="J1036" s="9">
        <v>46173</v>
      </c>
      <c r="K1036" s="2" t="s">
        <v>4760</v>
      </c>
      <c r="L1036" s="2" t="s">
        <v>17</v>
      </c>
    </row>
    <row r="1037" spans="1:12">
      <c r="A1037" s="14" t="s">
        <v>3506</v>
      </c>
      <c r="B1037" s="2" t="s">
        <v>3507</v>
      </c>
      <c r="C1037" s="2" t="s">
        <v>14</v>
      </c>
      <c r="D1037" s="2" t="s">
        <v>15</v>
      </c>
      <c r="E1037" s="2" t="s">
        <v>58</v>
      </c>
      <c r="F1037" s="9">
        <v>46171</v>
      </c>
      <c r="G1037" s="9" t="s">
        <v>4749</v>
      </c>
      <c r="H1037" s="8">
        <v>139.99</v>
      </c>
      <c r="I1037" s="8">
        <v>61.91</v>
      </c>
      <c r="J1037" s="9">
        <v>46176</v>
      </c>
      <c r="K1037" s="2" t="s">
        <v>4761</v>
      </c>
      <c r="L1037" s="2" t="s">
        <v>17</v>
      </c>
    </row>
    <row r="1038" spans="1:12">
      <c r="A1038" s="14" t="s">
        <v>2572</v>
      </c>
      <c r="B1038" s="2" t="s">
        <v>2573</v>
      </c>
      <c r="C1038" s="2" t="s">
        <v>14</v>
      </c>
      <c r="D1038" s="2" t="s">
        <v>15</v>
      </c>
      <c r="E1038" s="2" t="s">
        <v>55</v>
      </c>
      <c r="F1038" s="9">
        <v>46171</v>
      </c>
      <c r="G1038" s="9" t="s">
        <v>1894</v>
      </c>
      <c r="H1038" s="8">
        <v>100.95</v>
      </c>
      <c r="I1038" s="8">
        <v>45.62</v>
      </c>
      <c r="J1038" s="9">
        <v>46174</v>
      </c>
      <c r="K1038" s="2" t="s">
        <v>4762</v>
      </c>
      <c r="L1038" s="2" t="s">
        <v>17</v>
      </c>
    </row>
    <row r="1039" spans="1:12">
      <c r="A1039" s="14" t="s">
        <v>3573</v>
      </c>
      <c r="B1039" s="2" t="s">
        <v>3574</v>
      </c>
      <c r="C1039" s="2" t="s">
        <v>14</v>
      </c>
      <c r="D1039" s="2" t="s">
        <v>15</v>
      </c>
      <c r="E1039" s="2" t="s">
        <v>23</v>
      </c>
      <c r="F1039" s="9">
        <v>46171</v>
      </c>
      <c r="G1039" s="9" t="s">
        <v>1894</v>
      </c>
      <c r="H1039" s="8">
        <v>99.99</v>
      </c>
      <c r="I1039" s="8">
        <v>26.17</v>
      </c>
      <c r="J1039" s="9">
        <v>46175</v>
      </c>
      <c r="K1039" s="2" t="s">
        <v>4763</v>
      </c>
      <c r="L1039" s="2" t="s">
        <v>17</v>
      </c>
    </row>
    <row r="1040" spans="1:12">
      <c r="A1040" s="14" t="s">
        <v>4764</v>
      </c>
      <c r="B1040" s="2" t="s">
        <v>4765</v>
      </c>
      <c r="C1040" s="2" t="s">
        <v>14</v>
      </c>
      <c r="D1040" s="2" t="s">
        <v>15</v>
      </c>
      <c r="E1040" s="2" t="s">
        <v>20</v>
      </c>
      <c r="F1040" s="9">
        <v>46171</v>
      </c>
      <c r="G1040" s="9" t="s">
        <v>4748</v>
      </c>
      <c r="H1040" s="8">
        <v>115.7</v>
      </c>
      <c r="I1040" s="8">
        <v>36.29</v>
      </c>
      <c r="J1040" s="9">
        <v>46173</v>
      </c>
      <c r="K1040" s="2" t="s">
        <v>4766</v>
      </c>
      <c r="L1040" s="2" t="s">
        <v>17</v>
      </c>
    </row>
    <row r="1041" spans="1:12">
      <c r="A1041" s="14" t="s">
        <v>4767</v>
      </c>
      <c r="B1041" s="2" t="s">
        <v>4768</v>
      </c>
      <c r="C1041" s="2" t="s">
        <v>14</v>
      </c>
      <c r="D1041" s="2" t="s">
        <v>15</v>
      </c>
      <c r="E1041" s="2" t="s">
        <v>20</v>
      </c>
      <c r="F1041" s="9">
        <v>46171</v>
      </c>
      <c r="G1041" s="9" t="s">
        <v>1894</v>
      </c>
      <c r="H1041" s="8">
        <v>109.99</v>
      </c>
      <c r="I1041" s="8">
        <v>33.64</v>
      </c>
      <c r="J1041" s="9">
        <v>46173</v>
      </c>
      <c r="K1041" s="2" t="s">
        <v>4769</v>
      </c>
      <c r="L1041" s="2" t="s">
        <v>17</v>
      </c>
    </row>
    <row r="1042" spans="1:12">
      <c r="A1042" s="14" t="s">
        <v>4770</v>
      </c>
      <c r="B1042" s="2" t="s">
        <v>4771</v>
      </c>
      <c r="C1042" s="2" t="s">
        <v>14</v>
      </c>
      <c r="D1042" s="2" t="s">
        <v>15</v>
      </c>
      <c r="E1042" s="2" t="s">
        <v>4772</v>
      </c>
      <c r="F1042" s="9">
        <v>46171</v>
      </c>
      <c r="G1042" s="9" t="s">
        <v>4748</v>
      </c>
      <c r="H1042" s="8">
        <v>109.86</v>
      </c>
      <c r="I1042" s="8">
        <v>33.9</v>
      </c>
      <c r="J1042" s="9">
        <v>46176</v>
      </c>
      <c r="K1042" s="2" t="s">
        <v>4773</v>
      </c>
      <c r="L1042" s="2" t="s">
        <v>17</v>
      </c>
    </row>
    <row r="1043" spans="1:12">
      <c r="A1043" s="14" t="s">
        <v>1005</v>
      </c>
      <c r="B1043" s="2" t="s">
        <v>1006</v>
      </c>
      <c r="C1043" s="2" t="s">
        <v>14</v>
      </c>
      <c r="D1043" s="2" t="s">
        <v>15</v>
      </c>
      <c r="E1043" s="2" t="s">
        <v>62</v>
      </c>
      <c r="F1043" s="9">
        <v>46171</v>
      </c>
      <c r="G1043" s="9" t="s">
        <v>4748</v>
      </c>
      <c r="H1043" s="8">
        <v>119.99</v>
      </c>
      <c r="I1043" s="8">
        <v>12.46</v>
      </c>
      <c r="J1043" s="9">
        <v>46175</v>
      </c>
      <c r="K1043" s="2" t="s">
        <v>4774</v>
      </c>
      <c r="L1043" s="2" t="s">
        <v>17</v>
      </c>
    </row>
  </sheetData>
  <dataValidations count="2">
    <dataValidation type="list" allowBlank="1" showInputMessage="1" showErrorMessage="1" sqref="D2:D434 D436:D1048432" xr:uid="{BBEE7A0D-D101-4230-90E8-7EDF4875CE67}">
      <formula1>"Concluído,Enviado no grupo,Não enviado"</formula1>
    </dataValidation>
    <dataValidation type="list" allowBlank="1" showInputMessage="1" showErrorMessage="1" sqref="L1:L1048432" xr:uid="{E0B003C9-F895-4509-8A7A-C466C6F714B5}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AGS</dc:creator>
  <cp:keywords/>
  <dc:description/>
  <cp:lastModifiedBy/>
  <cp:revision/>
  <dcterms:created xsi:type="dcterms:W3CDTF">2015-06-05T18:19:34Z</dcterms:created>
  <dcterms:modified xsi:type="dcterms:W3CDTF">2026-07-16T19:56:57Z</dcterms:modified>
  <cp:category/>
  <cp:contentStatus/>
</cp:coreProperties>
</file>